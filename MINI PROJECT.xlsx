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astha Maurya\OneDrive\Desktop\Career 247\MINI Projects\"/>
    </mc:Choice>
  </mc:AlternateContent>
  <bookViews>
    <workbookView xWindow="0" yWindow="0" windowWidth="8110" windowHeight="5270" activeTab="2"/>
  </bookViews>
  <sheets>
    <sheet name="Pivot" sheetId="5" r:id="rId1"/>
    <sheet name="DashBoard" sheetId="7" r:id="rId2"/>
    <sheet name="Insights" sheetId="9" r:id="rId3"/>
    <sheet name="QA" sheetId="8" r:id="rId4"/>
    <sheet name="AmozonSales" sheetId="1" r:id="rId5"/>
    <sheet name="ProductMaster" sheetId="2" r:id="rId6"/>
    <sheet name="RegionGoals" sheetId="3" r:id="rId7"/>
    <sheet name="CustomerMaster" sheetId="4" r:id="rId8"/>
  </sheets>
  <definedNames>
    <definedName name="OLE_LINK1" localSheetId="0">Pivot!$E$17</definedName>
    <definedName name="Slicer_Delivery_Status">#N/A</definedName>
    <definedName name="Slicer_Month">#N/A</definedName>
    <definedName name="Slicer_Payment_Method">#N/A</definedName>
    <definedName name="Slicer_Region">#N/A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5" l="1"/>
  <c r="X101" i="1" l="1"/>
  <c r="V101" i="1"/>
  <c r="W101" i="1" s="1"/>
  <c r="U101" i="1"/>
  <c r="T101" i="1"/>
  <c r="Q101" i="1"/>
  <c r="P101" i="1"/>
  <c r="D101" i="1"/>
  <c r="C101" i="1"/>
  <c r="X100" i="1"/>
  <c r="V100" i="1"/>
  <c r="W100" i="1" s="1"/>
  <c r="U100" i="1"/>
  <c r="T100" i="1"/>
  <c r="Q100" i="1"/>
  <c r="P100" i="1"/>
  <c r="D100" i="1"/>
  <c r="C100" i="1"/>
  <c r="X99" i="1"/>
  <c r="V99" i="1"/>
  <c r="W99" i="1" s="1"/>
  <c r="U99" i="1"/>
  <c r="T99" i="1"/>
  <c r="Q99" i="1"/>
  <c r="P99" i="1"/>
  <c r="D99" i="1"/>
  <c r="C99" i="1"/>
  <c r="X98" i="1"/>
  <c r="V98" i="1"/>
  <c r="W98" i="1" s="1"/>
  <c r="U98" i="1"/>
  <c r="T98" i="1"/>
  <c r="Q98" i="1"/>
  <c r="P98" i="1"/>
  <c r="D98" i="1"/>
  <c r="C98" i="1"/>
  <c r="X97" i="1"/>
  <c r="V97" i="1"/>
  <c r="W97" i="1" s="1"/>
  <c r="U97" i="1"/>
  <c r="T97" i="1"/>
  <c r="Q97" i="1"/>
  <c r="P97" i="1"/>
  <c r="D97" i="1"/>
  <c r="C97" i="1"/>
  <c r="X96" i="1"/>
  <c r="V96" i="1"/>
  <c r="W96" i="1" s="1"/>
  <c r="U96" i="1"/>
  <c r="T96" i="1"/>
  <c r="Q96" i="1"/>
  <c r="P96" i="1"/>
  <c r="D96" i="1"/>
  <c r="C96" i="1"/>
  <c r="X95" i="1"/>
  <c r="V95" i="1"/>
  <c r="W95" i="1" s="1"/>
  <c r="U95" i="1"/>
  <c r="T95" i="1"/>
  <c r="Q95" i="1"/>
  <c r="P95" i="1"/>
  <c r="D95" i="1"/>
  <c r="C95" i="1"/>
  <c r="X94" i="1"/>
  <c r="V94" i="1"/>
  <c r="W94" i="1" s="1"/>
  <c r="U94" i="1"/>
  <c r="T94" i="1"/>
  <c r="Q94" i="1"/>
  <c r="P94" i="1"/>
  <c r="D94" i="1"/>
  <c r="C94" i="1"/>
  <c r="X93" i="1"/>
  <c r="V93" i="1"/>
  <c r="W93" i="1" s="1"/>
  <c r="U93" i="1"/>
  <c r="T93" i="1"/>
  <c r="Q93" i="1"/>
  <c r="P93" i="1"/>
  <c r="D93" i="1"/>
  <c r="C93" i="1"/>
  <c r="X92" i="1"/>
  <c r="V92" i="1"/>
  <c r="W92" i="1" s="1"/>
  <c r="U92" i="1"/>
  <c r="T92" i="1"/>
  <c r="Q92" i="1"/>
  <c r="P92" i="1"/>
  <c r="D92" i="1"/>
  <c r="C92" i="1"/>
  <c r="X91" i="1"/>
  <c r="V91" i="1"/>
  <c r="W91" i="1" s="1"/>
  <c r="U91" i="1"/>
  <c r="T91" i="1"/>
  <c r="Q91" i="1"/>
  <c r="P91" i="1"/>
  <c r="D91" i="1"/>
  <c r="C91" i="1"/>
  <c r="X90" i="1"/>
  <c r="V90" i="1"/>
  <c r="W90" i="1" s="1"/>
  <c r="U90" i="1"/>
  <c r="T90" i="1"/>
  <c r="Q90" i="1"/>
  <c r="P90" i="1"/>
  <c r="D90" i="1"/>
  <c r="C90" i="1"/>
  <c r="X89" i="1"/>
  <c r="V89" i="1"/>
  <c r="W89" i="1" s="1"/>
  <c r="U89" i="1"/>
  <c r="T89" i="1"/>
  <c r="Q89" i="1"/>
  <c r="P89" i="1"/>
  <c r="D89" i="1"/>
  <c r="C89" i="1"/>
  <c r="X88" i="1"/>
  <c r="V88" i="1"/>
  <c r="W88" i="1" s="1"/>
  <c r="U88" i="1"/>
  <c r="T88" i="1"/>
  <c r="Q88" i="1"/>
  <c r="P88" i="1"/>
  <c r="D88" i="1"/>
  <c r="C88" i="1"/>
  <c r="X87" i="1"/>
  <c r="V87" i="1"/>
  <c r="W87" i="1" s="1"/>
  <c r="U87" i="1"/>
  <c r="T87" i="1"/>
  <c r="Q87" i="1"/>
  <c r="P87" i="1"/>
  <c r="D87" i="1"/>
  <c r="C87" i="1"/>
  <c r="X86" i="1"/>
  <c r="V86" i="1"/>
  <c r="W86" i="1" s="1"/>
  <c r="U86" i="1"/>
  <c r="T86" i="1"/>
  <c r="Q86" i="1"/>
  <c r="P86" i="1"/>
  <c r="D86" i="1"/>
  <c r="C86" i="1"/>
  <c r="X85" i="1"/>
  <c r="V85" i="1"/>
  <c r="W85" i="1" s="1"/>
  <c r="U85" i="1"/>
  <c r="T85" i="1"/>
  <c r="Q85" i="1"/>
  <c r="P85" i="1"/>
  <c r="D85" i="1"/>
  <c r="C85" i="1"/>
  <c r="X84" i="1"/>
  <c r="V84" i="1"/>
  <c r="W84" i="1" s="1"/>
  <c r="U84" i="1"/>
  <c r="T84" i="1"/>
  <c r="Q84" i="1"/>
  <c r="P84" i="1"/>
  <c r="D84" i="1"/>
  <c r="C84" i="1"/>
  <c r="X83" i="1"/>
  <c r="V83" i="1"/>
  <c r="W83" i="1" s="1"/>
  <c r="U83" i="1"/>
  <c r="T83" i="1"/>
  <c r="Q83" i="1"/>
  <c r="P83" i="1"/>
  <c r="D83" i="1"/>
  <c r="C83" i="1"/>
  <c r="X82" i="1"/>
  <c r="V82" i="1"/>
  <c r="W82" i="1" s="1"/>
  <c r="U82" i="1"/>
  <c r="T82" i="1"/>
  <c r="Q82" i="1"/>
  <c r="P82" i="1"/>
  <c r="D82" i="1"/>
  <c r="C82" i="1"/>
  <c r="X81" i="1"/>
  <c r="V81" i="1"/>
  <c r="W81" i="1" s="1"/>
  <c r="U81" i="1"/>
  <c r="T81" i="1"/>
  <c r="Q81" i="1"/>
  <c r="P81" i="1"/>
  <c r="D81" i="1"/>
  <c r="C81" i="1"/>
  <c r="X80" i="1"/>
  <c r="V80" i="1"/>
  <c r="W80" i="1" s="1"/>
  <c r="U80" i="1"/>
  <c r="T80" i="1"/>
  <c r="Q80" i="1"/>
  <c r="P80" i="1"/>
  <c r="D80" i="1"/>
  <c r="C80" i="1"/>
  <c r="X79" i="1"/>
  <c r="V79" i="1"/>
  <c r="W79" i="1" s="1"/>
  <c r="U79" i="1"/>
  <c r="T79" i="1"/>
  <c r="Q79" i="1"/>
  <c r="P79" i="1"/>
  <c r="D79" i="1"/>
  <c r="C79" i="1"/>
  <c r="X78" i="1"/>
  <c r="V78" i="1"/>
  <c r="W78" i="1" s="1"/>
  <c r="U78" i="1"/>
  <c r="T78" i="1"/>
  <c r="Q78" i="1"/>
  <c r="P78" i="1"/>
  <c r="D78" i="1"/>
  <c r="C78" i="1"/>
  <c r="X77" i="1"/>
  <c r="V77" i="1"/>
  <c r="W77" i="1" s="1"/>
  <c r="U77" i="1"/>
  <c r="T77" i="1"/>
  <c r="Q77" i="1"/>
  <c r="P77" i="1"/>
  <c r="D77" i="1"/>
  <c r="C77" i="1"/>
  <c r="X76" i="1"/>
  <c r="V76" i="1"/>
  <c r="W76" i="1" s="1"/>
  <c r="U76" i="1"/>
  <c r="T76" i="1"/>
  <c r="Q76" i="1"/>
  <c r="P76" i="1"/>
  <c r="D76" i="1"/>
  <c r="C76" i="1"/>
  <c r="X75" i="1"/>
  <c r="V75" i="1"/>
  <c r="W75" i="1" s="1"/>
  <c r="U75" i="1"/>
  <c r="T75" i="1"/>
  <c r="Q75" i="1"/>
  <c r="P75" i="1"/>
  <c r="D75" i="1"/>
  <c r="C75" i="1"/>
  <c r="X74" i="1"/>
  <c r="V74" i="1"/>
  <c r="W74" i="1" s="1"/>
  <c r="U74" i="1"/>
  <c r="T74" i="1"/>
  <c r="Q74" i="1"/>
  <c r="P74" i="1"/>
  <c r="D74" i="1"/>
  <c r="C74" i="1"/>
  <c r="X73" i="1"/>
  <c r="V73" i="1"/>
  <c r="W73" i="1" s="1"/>
  <c r="U73" i="1"/>
  <c r="T73" i="1"/>
  <c r="Q73" i="1"/>
  <c r="P73" i="1"/>
  <c r="D73" i="1"/>
  <c r="C73" i="1"/>
  <c r="X72" i="1"/>
  <c r="V72" i="1"/>
  <c r="W72" i="1" s="1"/>
  <c r="U72" i="1"/>
  <c r="T72" i="1"/>
  <c r="Q72" i="1"/>
  <c r="P72" i="1"/>
  <c r="D72" i="1"/>
  <c r="C72" i="1"/>
  <c r="X71" i="1"/>
  <c r="V71" i="1"/>
  <c r="W71" i="1" s="1"/>
  <c r="U71" i="1"/>
  <c r="T71" i="1"/>
  <c r="Q71" i="1"/>
  <c r="P71" i="1"/>
  <c r="D71" i="1"/>
  <c r="C71" i="1"/>
  <c r="X70" i="1"/>
  <c r="V70" i="1"/>
  <c r="W70" i="1" s="1"/>
  <c r="U70" i="1"/>
  <c r="T70" i="1"/>
  <c r="Q70" i="1"/>
  <c r="P70" i="1"/>
  <c r="D70" i="1"/>
  <c r="C70" i="1"/>
  <c r="X69" i="1"/>
  <c r="V69" i="1"/>
  <c r="W69" i="1" s="1"/>
  <c r="U69" i="1"/>
  <c r="T69" i="1"/>
  <c r="Q69" i="1"/>
  <c r="P69" i="1"/>
  <c r="D69" i="1"/>
  <c r="C69" i="1"/>
  <c r="X68" i="1"/>
  <c r="V68" i="1"/>
  <c r="W68" i="1" s="1"/>
  <c r="U68" i="1"/>
  <c r="T68" i="1"/>
  <c r="Q68" i="1"/>
  <c r="P68" i="1"/>
  <c r="D68" i="1"/>
  <c r="C68" i="1"/>
  <c r="X67" i="1"/>
  <c r="V67" i="1"/>
  <c r="W67" i="1" s="1"/>
  <c r="U67" i="1"/>
  <c r="T67" i="1"/>
  <c r="Q67" i="1"/>
  <c r="P67" i="1"/>
  <c r="D67" i="1"/>
  <c r="C67" i="1"/>
  <c r="X66" i="1"/>
  <c r="V66" i="1"/>
  <c r="W66" i="1" s="1"/>
  <c r="U66" i="1"/>
  <c r="T66" i="1"/>
  <c r="Q66" i="1"/>
  <c r="P66" i="1"/>
  <c r="D66" i="1"/>
  <c r="C66" i="1"/>
  <c r="X65" i="1"/>
  <c r="V65" i="1"/>
  <c r="W65" i="1" s="1"/>
  <c r="U65" i="1"/>
  <c r="T65" i="1"/>
  <c r="Q65" i="1"/>
  <c r="P65" i="1"/>
  <c r="D65" i="1"/>
  <c r="C65" i="1"/>
  <c r="X64" i="1"/>
  <c r="V64" i="1"/>
  <c r="W64" i="1" s="1"/>
  <c r="U64" i="1"/>
  <c r="T64" i="1"/>
  <c r="Q64" i="1"/>
  <c r="P64" i="1"/>
  <c r="D64" i="1"/>
  <c r="C64" i="1"/>
  <c r="X63" i="1"/>
  <c r="V63" i="1"/>
  <c r="W63" i="1" s="1"/>
  <c r="U63" i="1"/>
  <c r="T63" i="1"/>
  <c r="Q63" i="1"/>
  <c r="P63" i="1"/>
  <c r="D63" i="1"/>
  <c r="C63" i="1"/>
  <c r="X62" i="1"/>
  <c r="V62" i="1"/>
  <c r="W62" i="1" s="1"/>
  <c r="U62" i="1"/>
  <c r="T62" i="1"/>
  <c r="Q62" i="1"/>
  <c r="P62" i="1"/>
  <c r="D62" i="1"/>
  <c r="C62" i="1"/>
  <c r="X61" i="1"/>
  <c r="V61" i="1"/>
  <c r="W61" i="1" s="1"/>
  <c r="U61" i="1"/>
  <c r="T61" i="1"/>
  <c r="Q61" i="1"/>
  <c r="P61" i="1"/>
  <c r="D61" i="1"/>
  <c r="C61" i="1"/>
  <c r="X60" i="1"/>
  <c r="V60" i="1"/>
  <c r="W60" i="1" s="1"/>
  <c r="U60" i="1"/>
  <c r="T60" i="1"/>
  <c r="Q60" i="1"/>
  <c r="P60" i="1"/>
  <c r="D60" i="1"/>
  <c r="C60" i="1"/>
  <c r="X59" i="1"/>
  <c r="V59" i="1"/>
  <c r="W59" i="1" s="1"/>
  <c r="U59" i="1"/>
  <c r="T59" i="1"/>
  <c r="Q59" i="1"/>
  <c r="P59" i="1"/>
  <c r="D59" i="1"/>
  <c r="C59" i="1"/>
  <c r="X58" i="1"/>
  <c r="V58" i="1"/>
  <c r="W58" i="1" s="1"/>
  <c r="U58" i="1"/>
  <c r="T58" i="1"/>
  <c r="Q58" i="1"/>
  <c r="P58" i="1"/>
  <c r="D58" i="1"/>
  <c r="C58" i="1"/>
  <c r="X57" i="1"/>
  <c r="V57" i="1"/>
  <c r="W57" i="1" s="1"/>
  <c r="U57" i="1"/>
  <c r="T57" i="1"/>
  <c r="Q57" i="1"/>
  <c r="P57" i="1"/>
  <c r="D57" i="1"/>
  <c r="C57" i="1"/>
  <c r="X56" i="1"/>
  <c r="V56" i="1"/>
  <c r="W56" i="1" s="1"/>
  <c r="U56" i="1"/>
  <c r="T56" i="1"/>
  <c r="Q56" i="1"/>
  <c r="P56" i="1"/>
  <c r="D56" i="1"/>
  <c r="C56" i="1"/>
  <c r="X55" i="1"/>
  <c r="V55" i="1"/>
  <c r="W55" i="1" s="1"/>
  <c r="U55" i="1"/>
  <c r="T55" i="1"/>
  <c r="Q55" i="1"/>
  <c r="P55" i="1"/>
  <c r="D55" i="1"/>
  <c r="C55" i="1"/>
  <c r="X54" i="1"/>
  <c r="V54" i="1"/>
  <c r="W54" i="1" s="1"/>
  <c r="U54" i="1"/>
  <c r="T54" i="1"/>
  <c r="Q54" i="1"/>
  <c r="P54" i="1"/>
  <c r="D54" i="1"/>
  <c r="C54" i="1"/>
  <c r="X53" i="1"/>
  <c r="V53" i="1"/>
  <c r="W53" i="1" s="1"/>
  <c r="U53" i="1"/>
  <c r="T53" i="1"/>
  <c r="Q53" i="1"/>
  <c r="P53" i="1"/>
  <c r="D53" i="1"/>
  <c r="C53" i="1"/>
  <c r="X52" i="1"/>
  <c r="V52" i="1"/>
  <c r="W52" i="1" s="1"/>
  <c r="U52" i="1"/>
  <c r="T52" i="1"/>
  <c r="Q52" i="1"/>
  <c r="P52" i="1"/>
  <c r="D52" i="1"/>
  <c r="C52" i="1"/>
  <c r="X51" i="1"/>
  <c r="V51" i="1"/>
  <c r="W51" i="1" s="1"/>
  <c r="U51" i="1"/>
  <c r="T51" i="1"/>
  <c r="Q51" i="1"/>
  <c r="P51" i="1"/>
  <c r="D51" i="1"/>
  <c r="C51" i="1"/>
  <c r="X50" i="1"/>
  <c r="V50" i="1"/>
  <c r="W50" i="1" s="1"/>
  <c r="U50" i="1"/>
  <c r="T50" i="1"/>
  <c r="Q50" i="1"/>
  <c r="P50" i="1"/>
  <c r="D50" i="1"/>
  <c r="C50" i="1"/>
  <c r="X49" i="1"/>
  <c r="V49" i="1"/>
  <c r="W49" i="1" s="1"/>
  <c r="U49" i="1"/>
  <c r="T49" i="1"/>
  <c r="Q49" i="1"/>
  <c r="P49" i="1"/>
  <c r="D49" i="1"/>
  <c r="C49" i="1"/>
  <c r="X48" i="1"/>
  <c r="V48" i="1"/>
  <c r="W48" i="1" s="1"/>
  <c r="U48" i="1"/>
  <c r="T48" i="1"/>
  <c r="Q48" i="1"/>
  <c r="P48" i="1"/>
  <c r="D48" i="1"/>
  <c r="C48" i="1"/>
  <c r="X47" i="1"/>
  <c r="V47" i="1"/>
  <c r="W47" i="1" s="1"/>
  <c r="U47" i="1"/>
  <c r="T47" i="1"/>
  <c r="Q47" i="1"/>
  <c r="P47" i="1"/>
  <c r="D47" i="1"/>
  <c r="C47" i="1"/>
  <c r="X46" i="1"/>
  <c r="V46" i="1"/>
  <c r="W46" i="1" s="1"/>
  <c r="U46" i="1"/>
  <c r="T46" i="1"/>
  <c r="Q46" i="1"/>
  <c r="P46" i="1"/>
  <c r="D46" i="1"/>
  <c r="C46" i="1"/>
  <c r="X45" i="1"/>
  <c r="V45" i="1"/>
  <c r="W45" i="1" s="1"/>
  <c r="U45" i="1"/>
  <c r="T45" i="1"/>
  <c r="Q45" i="1"/>
  <c r="P45" i="1"/>
  <c r="D45" i="1"/>
  <c r="C45" i="1"/>
  <c r="X44" i="1"/>
  <c r="V44" i="1"/>
  <c r="W44" i="1" s="1"/>
  <c r="U44" i="1"/>
  <c r="T44" i="1"/>
  <c r="Q44" i="1"/>
  <c r="P44" i="1"/>
  <c r="D44" i="1"/>
  <c r="C44" i="1"/>
  <c r="X43" i="1"/>
  <c r="V43" i="1"/>
  <c r="W43" i="1" s="1"/>
  <c r="U43" i="1"/>
  <c r="T43" i="1"/>
  <c r="Q43" i="1"/>
  <c r="P43" i="1"/>
  <c r="D43" i="1"/>
  <c r="C43" i="1"/>
  <c r="X42" i="1"/>
  <c r="V42" i="1"/>
  <c r="W42" i="1" s="1"/>
  <c r="U42" i="1"/>
  <c r="T42" i="1"/>
  <c r="Q42" i="1"/>
  <c r="P42" i="1"/>
  <c r="D42" i="1"/>
  <c r="C42" i="1"/>
  <c r="X41" i="1"/>
  <c r="V41" i="1"/>
  <c r="W41" i="1" s="1"/>
  <c r="U41" i="1"/>
  <c r="T41" i="1"/>
  <c r="Q41" i="1"/>
  <c r="P41" i="1"/>
  <c r="D41" i="1"/>
  <c r="C41" i="1"/>
  <c r="X40" i="1"/>
  <c r="V40" i="1"/>
  <c r="W40" i="1" s="1"/>
  <c r="U40" i="1"/>
  <c r="T40" i="1"/>
  <c r="Q40" i="1"/>
  <c r="P40" i="1"/>
  <c r="D40" i="1"/>
  <c r="C40" i="1"/>
  <c r="X39" i="1"/>
  <c r="V39" i="1"/>
  <c r="W39" i="1" s="1"/>
  <c r="U39" i="1"/>
  <c r="T39" i="1"/>
  <c r="Q39" i="1"/>
  <c r="P39" i="1"/>
  <c r="D39" i="1"/>
  <c r="C39" i="1"/>
  <c r="X38" i="1"/>
  <c r="V38" i="1"/>
  <c r="W38" i="1" s="1"/>
  <c r="U38" i="1"/>
  <c r="T38" i="1"/>
  <c r="Q38" i="1"/>
  <c r="P38" i="1"/>
  <c r="D38" i="1"/>
  <c r="C38" i="1"/>
  <c r="X37" i="1"/>
  <c r="V37" i="1"/>
  <c r="W37" i="1" s="1"/>
  <c r="U37" i="1"/>
  <c r="T37" i="1"/>
  <c r="Q37" i="1"/>
  <c r="P37" i="1"/>
  <c r="D37" i="1"/>
  <c r="C37" i="1"/>
  <c r="X36" i="1"/>
  <c r="V36" i="1"/>
  <c r="W36" i="1" s="1"/>
  <c r="U36" i="1"/>
  <c r="T36" i="1"/>
  <c r="Q36" i="1"/>
  <c r="P36" i="1"/>
  <c r="D36" i="1"/>
  <c r="C36" i="1"/>
  <c r="X35" i="1"/>
  <c r="V35" i="1"/>
  <c r="W35" i="1" s="1"/>
  <c r="U35" i="1"/>
  <c r="T35" i="1"/>
  <c r="Q35" i="1"/>
  <c r="P35" i="1"/>
  <c r="D35" i="1"/>
  <c r="C35" i="1"/>
  <c r="X34" i="1"/>
  <c r="V34" i="1"/>
  <c r="W34" i="1" s="1"/>
  <c r="U34" i="1"/>
  <c r="T34" i="1"/>
  <c r="Q34" i="1"/>
  <c r="P34" i="1"/>
  <c r="D34" i="1"/>
  <c r="C34" i="1"/>
  <c r="X33" i="1"/>
  <c r="V33" i="1"/>
  <c r="W33" i="1" s="1"/>
  <c r="U33" i="1"/>
  <c r="T33" i="1"/>
  <c r="Q33" i="1"/>
  <c r="P33" i="1"/>
  <c r="D33" i="1"/>
  <c r="C33" i="1"/>
  <c r="X32" i="1"/>
  <c r="V32" i="1"/>
  <c r="W32" i="1" s="1"/>
  <c r="U32" i="1"/>
  <c r="T32" i="1"/>
  <c r="Q32" i="1"/>
  <c r="P32" i="1"/>
  <c r="D32" i="1"/>
  <c r="C32" i="1"/>
  <c r="X31" i="1"/>
  <c r="V31" i="1"/>
  <c r="W31" i="1" s="1"/>
  <c r="U31" i="1"/>
  <c r="T31" i="1"/>
  <c r="Q31" i="1"/>
  <c r="P31" i="1"/>
  <c r="D31" i="1"/>
  <c r="C31" i="1"/>
  <c r="X30" i="1"/>
  <c r="V30" i="1"/>
  <c r="W30" i="1" s="1"/>
  <c r="U30" i="1"/>
  <c r="T30" i="1"/>
  <c r="Q30" i="1"/>
  <c r="P30" i="1"/>
  <c r="D30" i="1"/>
  <c r="C30" i="1"/>
  <c r="X29" i="1"/>
  <c r="V29" i="1"/>
  <c r="W29" i="1" s="1"/>
  <c r="U29" i="1"/>
  <c r="T29" i="1"/>
  <c r="Q29" i="1"/>
  <c r="P29" i="1"/>
  <c r="D29" i="1"/>
  <c r="C29" i="1"/>
  <c r="X28" i="1"/>
  <c r="V28" i="1"/>
  <c r="W28" i="1" s="1"/>
  <c r="U28" i="1"/>
  <c r="T28" i="1"/>
  <c r="Q28" i="1"/>
  <c r="P28" i="1"/>
  <c r="D28" i="1"/>
  <c r="C28" i="1"/>
  <c r="X27" i="1"/>
  <c r="V27" i="1"/>
  <c r="W27" i="1" s="1"/>
  <c r="U27" i="1"/>
  <c r="T27" i="1"/>
  <c r="Q27" i="1"/>
  <c r="P27" i="1"/>
  <c r="D27" i="1"/>
  <c r="C27" i="1"/>
  <c r="X26" i="1"/>
  <c r="V26" i="1"/>
  <c r="W26" i="1" s="1"/>
  <c r="U26" i="1"/>
  <c r="T26" i="1"/>
  <c r="Q26" i="1"/>
  <c r="P26" i="1"/>
  <c r="D26" i="1"/>
  <c r="C26" i="1"/>
  <c r="X25" i="1"/>
  <c r="V25" i="1"/>
  <c r="W25" i="1" s="1"/>
  <c r="U25" i="1"/>
  <c r="T25" i="1"/>
  <c r="Q25" i="1"/>
  <c r="P25" i="1"/>
  <c r="D25" i="1"/>
  <c r="C25" i="1"/>
  <c r="X24" i="1"/>
  <c r="V24" i="1"/>
  <c r="W24" i="1" s="1"/>
  <c r="U24" i="1"/>
  <c r="T24" i="1"/>
  <c r="Q24" i="1"/>
  <c r="P24" i="1"/>
  <c r="D24" i="1"/>
  <c r="C24" i="1"/>
  <c r="X23" i="1"/>
  <c r="V23" i="1"/>
  <c r="W23" i="1" s="1"/>
  <c r="U23" i="1"/>
  <c r="T23" i="1"/>
  <c r="Q23" i="1"/>
  <c r="P23" i="1"/>
  <c r="D23" i="1"/>
  <c r="C23" i="1"/>
  <c r="X22" i="1"/>
  <c r="V22" i="1"/>
  <c r="W22" i="1" s="1"/>
  <c r="U22" i="1"/>
  <c r="T22" i="1"/>
  <c r="Q22" i="1"/>
  <c r="P22" i="1"/>
  <c r="D22" i="1"/>
  <c r="C22" i="1"/>
  <c r="X21" i="1"/>
  <c r="V21" i="1"/>
  <c r="W21" i="1" s="1"/>
  <c r="U21" i="1"/>
  <c r="T21" i="1"/>
  <c r="Q21" i="1"/>
  <c r="P21" i="1"/>
  <c r="D21" i="1"/>
  <c r="C21" i="1"/>
  <c r="X20" i="1"/>
  <c r="V20" i="1"/>
  <c r="W20" i="1" s="1"/>
  <c r="U20" i="1"/>
  <c r="T20" i="1"/>
  <c r="Q20" i="1"/>
  <c r="P20" i="1"/>
  <c r="D20" i="1"/>
  <c r="C20" i="1"/>
  <c r="X19" i="1"/>
  <c r="V19" i="1"/>
  <c r="W19" i="1" s="1"/>
  <c r="U19" i="1"/>
  <c r="T19" i="1"/>
  <c r="Q19" i="1"/>
  <c r="P19" i="1"/>
  <c r="D19" i="1"/>
  <c r="C19" i="1"/>
  <c r="X18" i="1"/>
  <c r="V18" i="1"/>
  <c r="W18" i="1" s="1"/>
  <c r="U18" i="1"/>
  <c r="T18" i="1"/>
  <c r="Q18" i="1"/>
  <c r="P18" i="1"/>
  <c r="D18" i="1"/>
  <c r="C18" i="1"/>
  <c r="X17" i="1"/>
  <c r="V17" i="1"/>
  <c r="W17" i="1" s="1"/>
  <c r="U17" i="1"/>
  <c r="T17" i="1"/>
  <c r="Q17" i="1"/>
  <c r="P17" i="1"/>
  <c r="D17" i="1"/>
  <c r="C17" i="1"/>
  <c r="X16" i="1"/>
  <c r="V16" i="1"/>
  <c r="W16" i="1" s="1"/>
  <c r="U16" i="1"/>
  <c r="T16" i="1"/>
  <c r="Q16" i="1"/>
  <c r="P16" i="1"/>
  <c r="D16" i="1"/>
  <c r="C16" i="1"/>
  <c r="X15" i="1"/>
  <c r="V15" i="1"/>
  <c r="W15" i="1" s="1"/>
  <c r="U15" i="1"/>
  <c r="T15" i="1"/>
  <c r="Q15" i="1"/>
  <c r="P15" i="1"/>
  <c r="D15" i="1"/>
  <c r="C15" i="1"/>
  <c r="X14" i="1"/>
  <c r="V14" i="1"/>
  <c r="W14" i="1" s="1"/>
  <c r="U14" i="1"/>
  <c r="T14" i="1"/>
  <c r="Q14" i="1"/>
  <c r="P14" i="1"/>
  <c r="D14" i="1"/>
  <c r="C14" i="1"/>
  <c r="X13" i="1"/>
  <c r="V13" i="1"/>
  <c r="W13" i="1" s="1"/>
  <c r="U13" i="1"/>
  <c r="T13" i="1"/>
  <c r="Q13" i="1"/>
  <c r="P13" i="1"/>
  <c r="D13" i="1"/>
  <c r="C13" i="1"/>
  <c r="X12" i="1"/>
  <c r="V12" i="1"/>
  <c r="W12" i="1" s="1"/>
  <c r="U12" i="1"/>
  <c r="T12" i="1"/>
  <c r="Q12" i="1"/>
  <c r="P12" i="1"/>
  <c r="D12" i="1"/>
  <c r="C12" i="1"/>
  <c r="X11" i="1"/>
  <c r="V11" i="1"/>
  <c r="W11" i="1" s="1"/>
  <c r="U11" i="1"/>
  <c r="T11" i="1"/>
  <c r="Q11" i="1"/>
  <c r="P11" i="1"/>
  <c r="D11" i="1"/>
  <c r="C11" i="1"/>
  <c r="X10" i="1"/>
  <c r="V10" i="1"/>
  <c r="W10" i="1" s="1"/>
  <c r="U10" i="1"/>
  <c r="T10" i="1"/>
  <c r="Q10" i="1"/>
  <c r="P10" i="1"/>
  <c r="D10" i="1"/>
  <c r="C10" i="1"/>
  <c r="X9" i="1"/>
  <c r="V9" i="1"/>
  <c r="W9" i="1" s="1"/>
  <c r="U9" i="1"/>
  <c r="T9" i="1"/>
  <c r="Q9" i="1"/>
  <c r="P9" i="1"/>
  <c r="D9" i="1"/>
  <c r="C9" i="1"/>
  <c r="X8" i="1"/>
  <c r="V8" i="1"/>
  <c r="W8" i="1" s="1"/>
  <c r="U8" i="1"/>
  <c r="T8" i="1"/>
  <c r="Q8" i="1"/>
  <c r="P8" i="1"/>
  <c r="D8" i="1"/>
  <c r="C8" i="1"/>
  <c r="X7" i="1"/>
  <c r="V7" i="1"/>
  <c r="W7" i="1" s="1"/>
  <c r="U7" i="1"/>
  <c r="T7" i="1"/>
  <c r="Q7" i="1"/>
  <c r="P7" i="1"/>
  <c r="D7" i="1"/>
  <c r="C7" i="1"/>
  <c r="X6" i="1"/>
  <c r="V6" i="1"/>
  <c r="W6" i="1" s="1"/>
  <c r="U6" i="1"/>
  <c r="T6" i="1"/>
  <c r="Q6" i="1"/>
  <c r="P6" i="1"/>
  <c r="D6" i="1"/>
  <c r="C6" i="1"/>
  <c r="X5" i="1"/>
  <c r="V5" i="1"/>
  <c r="W5" i="1" s="1"/>
  <c r="U5" i="1"/>
  <c r="T5" i="1"/>
  <c r="Q5" i="1"/>
  <c r="P5" i="1"/>
  <c r="D5" i="1"/>
  <c r="C5" i="1"/>
  <c r="X4" i="1"/>
  <c r="V4" i="1"/>
  <c r="W4" i="1" s="1"/>
  <c r="U4" i="1"/>
  <c r="T4" i="1"/>
  <c r="Q4" i="1"/>
  <c r="P4" i="1"/>
  <c r="D4" i="1"/>
  <c r="C4" i="1"/>
  <c r="X3" i="1"/>
  <c r="V3" i="1"/>
  <c r="W3" i="1" s="1"/>
  <c r="U3" i="1"/>
  <c r="T3" i="1"/>
  <c r="Q3" i="1"/>
  <c r="P3" i="1"/>
  <c r="D3" i="1"/>
  <c r="C3" i="1"/>
  <c r="X2" i="1"/>
  <c r="V2" i="1"/>
  <c r="W2" i="1" s="1"/>
  <c r="U2" i="1"/>
  <c r="T2" i="1"/>
  <c r="Q2" i="1"/>
  <c r="P2" i="1"/>
  <c r="D2" i="1"/>
  <c r="C2" i="1"/>
  <c r="R44" i="1" a="1"/>
  <c r="R70" i="1" a="1"/>
  <c r="R49" i="1" a="1"/>
  <c r="S78" i="1" a="1"/>
  <c r="R50" i="1" a="1"/>
  <c r="R76" i="1" a="1"/>
  <c r="R74" i="1" a="1"/>
  <c r="S69" i="1" a="1"/>
  <c r="S30" i="1" a="1"/>
  <c r="S7" i="1" a="1"/>
  <c r="S72" i="1" a="1"/>
  <c r="R89" i="1" a="1"/>
  <c r="S86" i="1" a="1"/>
  <c r="R80" i="1" a="1"/>
  <c r="R91" i="1" a="1"/>
  <c r="R54" i="1" a="1"/>
  <c r="R7" i="1" a="1"/>
  <c r="R64" i="1" a="1"/>
  <c r="R69" i="1" a="1"/>
  <c r="S55" i="1" a="1"/>
  <c r="R2" i="1" a="1"/>
  <c r="S62" i="1" a="1"/>
  <c r="R12" i="1" a="1"/>
  <c r="S43" i="1" a="1"/>
  <c r="R99" i="1" a="1"/>
  <c r="R46" i="1" a="1"/>
  <c r="R94" i="1" a="1"/>
  <c r="R84" i="1" a="1"/>
  <c r="S68" i="1" a="1"/>
  <c r="S29" i="1" a="1"/>
  <c r="S63" i="1" a="1"/>
  <c r="S36" i="1" a="1"/>
  <c r="S77" i="1" a="1"/>
  <c r="S76" i="1" a="1"/>
  <c r="S4" i="1" a="1"/>
  <c r="R62" i="1" a="1"/>
  <c r="S18" i="1" a="1"/>
  <c r="R98" i="1" a="1"/>
  <c r="S60" i="1" a="1"/>
  <c r="R36" i="1" a="1"/>
  <c r="S26" i="1" a="1"/>
  <c r="S83" i="1" a="1"/>
  <c r="S89" i="1" a="1"/>
  <c r="R37" i="1" a="1"/>
  <c r="R33" i="1" a="1"/>
  <c r="S27" i="1" a="1"/>
  <c r="S38" i="1" a="1"/>
  <c r="R47" i="1" a="1"/>
  <c r="S75" i="1" a="1"/>
  <c r="S95" i="1" a="1"/>
  <c r="R78" i="1" a="1"/>
  <c r="R6" i="1" a="1"/>
  <c r="S34" i="1" a="1"/>
  <c r="S90" i="1" a="1"/>
  <c r="S48" i="1" a="1"/>
  <c r="S91" i="1" a="1"/>
  <c r="R95" i="1" a="1"/>
  <c r="R73" i="1" a="1"/>
  <c r="R83" i="1" a="1"/>
  <c r="R24" i="1" a="1"/>
  <c r="R17" i="1" a="1"/>
  <c r="R48" i="1" a="1"/>
  <c r="S45" i="1" a="1"/>
  <c r="R87" i="1" a="1"/>
  <c r="R72" i="1" a="1"/>
  <c r="R85" i="1" a="1"/>
  <c r="R59" i="1" a="1"/>
  <c r="S46" i="1" a="1"/>
  <c r="S16" i="1" a="1"/>
  <c r="R96" i="1" a="1"/>
  <c r="S81" i="1" a="1"/>
  <c r="S54" i="1" a="1"/>
  <c r="S32" i="1" a="1"/>
  <c r="R77" i="1" a="1"/>
  <c r="R26" i="1" a="1"/>
  <c r="S71" i="1" a="1"/>
  <c r="R14" i="1" a="1"/>
  <c r="R79" i="1" a="1"/>
  <c r="S17" i="1" a="1"/>
  <c r="S87" i="1" a="1"/>
  <c r="R82" i="1" a="1"/>
  <c r="R29" i="1" a="1"/>
  <c r="R43" i="1" a="1"/>
  <c r="R41" i="1" a="1"/>
  <c r="S93" i="1" a="1"/>
  <c r="S80" i="1" a="1"/>
  <c r="R35" i="1" a="1"/>
  <c r="R38" i="1" a="1"/>
  <c r="S25" i="1" a="1"/>
  <c r="S85" i="1" a="1"/>
  <c r="S92" i="1" a="1"/>
  <c r="S8" i="1" a="1"/>
  <c r="R88" i="1" a="1"/>
  <c r="R10" i="1" a="1"/>
  <c r="R66" i="1" a="1"/>
  <c r="S100" i="1" a="1"/>
  <c r="R68" i="1" a="1"/>
  <c r="R20" i="1" a="1"/>
  <c r="S37" i="1" a="1"/>
  <c r="R93" i="1" a="1"/>
  <c r="R27" i="1" a="1"/>
  <c r="S11" i="1" a="1"/>
  <c r="R92" i="1" a="1"/>
  <c r="S5" i="1" a="1"/>
  <c r="S66" i="1" a="1"/>
  <c r="R19" i="1" a="1"/>
  <c r="S42" i="1" a="1"/>
  <c r="R25" i="1" a="1"/>
  <c r="S57" i="1" a="1"/>
  <c r="S21" i="1" a="1"/>
  <c r="S70" i="1" a="1"/>
  <c r="S14" i="1" a="1"/>
  <c r="R67" i="1" a="1"/>
  <c r="S24" i="1" a="1"/>
  <c r="S23" i="1" a="1"/>
  <c r="R15" i="1" a="1"/>
  <c r="S12" i="1" a="1"/>
  <c r="S73" i="1" a="1"/>
  <c r="S44" i="1" a="1"/>
  <c r="S94" i="1" a="1"/>
  <c r="S65" i="1" a="1"/>
  <c r="S40" i="1" a="1"/>
  <c r="R65" i="1" a="1"/>
  <c r="R40" i="1" a="1"/>
  <c r="R101" i="1" a="1"/>
  <c r="S84" i="1" a="1"/>
  <c r="S74" i="1" a="1"/>
  <c r="S99" i="1" a="1"/>
  <c r="S64" i="1" a="1"/>
  <c r="S47" i="1" a="1"/>
  <c r="R32" i="1" a="1"/>
  <c r="S49" i="1" a="1"/>
  <c r="S15" i="1" a="1"/>
  <c r="R30" i="1" a="1"/>
  <c r="R5" i="1" a="1"/>
  <c r="R23" i="1" a="1"/>
  <c r="R55" i="1" a="1"/>
  <c r="R45" i="1" a="1"/>
  <c r="S39" i="1" a="1"/>
  <c r="S35" i="1" a="1"/>
  <c r="S52" i="1" a="1"/>
  <c r="S28" i="1" a="1"/>
  <c r="R8" i="1" a="1"/>
  <c r="S6" i="1" a="1"/>
  <c r="S56" i="1" a="1"/>
  <c r="S97" i="1" a="1"/>
  <c r="S2" i="1" a="1"/>
  <c r="R97" i="1" a="1"/>
  <c r="S101" i="1" a="1"/>
  <c r="R57" i="1" a="1"/>
  <c r="S82" i="1" a="1"/>
  <c r="S79" i="1" a="1"/>
  <c r="S22" i="1" a="1"/>
  <c r="R42" i="1" a="1"/>
  <c r="R18" i="1" a="1"/>
  <c r="S50" i="1" a="1"/>
  <c r="R39" i="1" a="1"/>
  <c r="R100" i="1" a="1"/>
  <c r="R86" i="1" a="1"/>
  <c r="S9" i="1" a="1"/>
  <c r="S61" i="1" a="1"/>
  <c r="R9" i="1" a="1"/>
  <c r="R52" i="1" a="1"/>
  <c r="S20" i="1" a="1"/>
  <c r="S53" i="1" a="1"/>
  <c r="R22" i="1" a="1"/>
  <c r="R60" i="1" a="1"/>
  <c r="S13" i="1" a="1"/>
  <c r="S19" i="1" a="1"/>
  <c r="R75" i="1" a="1"/>
  <c r="S98" i="1" a="1"/>
  <c r="S31" i="1" a="1"/>
  <c r="S59" i="1" a="1"/>
  <c r="R51" i="1" a="1"/>
  <c r="R61" i="1" a="1"/>
  <c r="S3" i="1" a="1"/>
  <c r="S88" i="1" a="1"/>
  <c r="S33" i="1" a="1"/>
  <c r="R53" i="1" a="1"/>
  <c r="R28" i="1" a="1"/>
  <c r="R4" i="1" a="1"/>
  <c r="R21" i="1" a="1"/>
  <c r="R58" i="1" a="1"/>
  <c r="R16" i="1" a="1"/>
  <c r="R3" i="1" a="1"/>
  <c r="S58" i="1" a="1"/>
  <c r="R81" i="1" a="1"/>
  <c r="S96" i="1" a="1"/>
  <c r="S41" i="1" a="1"/>
  <c r="R34" i="1" a="1"/>
  <c r="S10" i="1" a="1"/>
  <c r="S51" i="1" a="1"/>
  <c r="R31" i="1" a="1"/>
  <c r="R13" i="1" a="1"/>
  <c r="R11" i="1" a="1"/>
  <c r="R63" i="1" a="1"/>
  <c r="R90" i="1" a="1"/>
  <c r="S67" i="1" a="1"/>
  <c r="R56" i="1" a="1"/>
  <c r="R71" i="1" a="1"/>
  <c r="R30" i="1" l="1"/>
  <c r="S70" i="1"/>
  <c r="R78" i="1"/>
  <c r="S63" i="1"/>
  <c r="S40" i="1"/>
  <c r="S16" i="1"/>
  <c r="R43" i="1"/>
  <c r="R9" i="1"/>
  <c r="S82" i="1"/>
  <c r="R52" i="1"/>
  <c r="R22" i="1"/>
  <c r="S84" i="1"/>
  <c r="S15" i="1"/>
  <c r="R65" i="1"/>
  <c r="R26" i="1"/>
  <c r="R99" i="1"/>
  <c r="R90" i="1"/>
  <c r="S11" i="1"/>
  <c r="S32" i="1"/>
  <c r="R101" i="1"/>
  <c r="R20" i="1"/>
  <c r="S65" i="1"/>
  <c r="R57" i="1"/>
  <c r="S60" i="1"/>
  <c r="R59" i="1"/>
  <c r="R64" i="1"/>
  <c r="R31" i="1"/>
  <c r="S21" i="1"/>
  <c r="S69" i="1"/>
  <c r="R100" i="1"/>
  <c r="S17" i="1"/>
  <c r="R11" i="1"/>
  <c r="R47" i="1"/>
  <c r="S12" i="1"/>
  <c r="R54" i="1"/>
  <c r="R61" i="1"/>
  <c r="S34" i="1"/>
  <c r="S58" i="1"/>
  <c r="R51" i="1"/>
  <c r="S29" i="1"/>
  <c r="S86" i="1"/>
  <c r="S20" i="1"/>
  <c r="R36" i="1"/>
  <c r="S67" i="1"/>
  <c r="S3" i="1"/>
  <c r="S72" i="1"/>
  <c r="R45" i="1"/>
  <c r="R66" i="1"/>
  <c r="R81" i="1"/>
  <c r="S99" i="1"/>
  <c r="S59" i="1"/>
  <c r="S95" i="1"/>
  <c r="R86" i="1"/>
  <c r="S50" i="1"/>
  <c r="R75" i="1"/>
  <c r="S41" i="1"/>
  <c r="R17" i="1"/>
  <c r="S13" i="1"/>
  <c r="S27" i="1"/>
  <c r="R92" i="1"/>
  <c r="S55" i="1"/>
  <c r="R48" i="1"/>
  <c r="R79" i="1"/>
  <c r="R84" i="1"/>
  <c r="S64" i="1"/>
  <c r="S39" i="1"/>
  <c r="S56" i="1"/>
  <c r="S101" i="1"/>
  <c r="S80" i="1"/>
  <c r="S46" i="1"/>
  <c r="S71" i="1"/>
  <c r="R88" i="1"/>
  <c r="S48" i="1"/>
  <c r="R97" i="1"/>
  <c r="S57" i="1"/>
  <c r="R68" i="1"/>
  <c r="R8" i="1"/>
  <c r="S7" i="1"/>
  <c r="S79" i="1"/>
  <c r="R28" i="1"/>
  <c r="S14" i="1"/>
  <c r="S24" i="1"/>
  <c r="R72" i="1"/>
  <c r="R94" i="1"/>
  <c r="S52" i="1"/>
  <c r="S43" i="1"/>
  <c r="S30" i="1"/>
  <c r="R39" i="1"/>
  <c r="R42" i="1"/>
  <c r="S54" i="1"/>
  <c r="R29" i="1"/>
  <c r="R83" i="1"/>
  <c r="S97" i="1"/>
  <c r="R71" i="1"/>
  <c r="S90" i="1"/>
  <c r="S66" i="1"/>
  <c r="S18" i="1"/>
  <c r="S91" i="1"/>
  <c r="S76" i="1"/>
  <c r="S49" i="1"/>
  <c r="R10" i="1"/>
  <c r="S6" i="1"/>
  <c r="S4" i="1"/>
  <c r="S89" i="1"/>
  <c r="R2" i="1"/>
  <c r="R5" i="1"/>
  <c r="R73" i="1"/>
  <c r="S10" i="1"/>
  <c r="R23" i="1"/>
  <c r="S88" i="1"/>
  <c r="S5" i="1"/>
  <c r="S68" i="1"/>
  <c r="S75" i="1"/>
  <c r="R16" i="1"/>
  <c r="S87" i="1"/>
  <c r="S92" i="1"/>
  <c r="S61" i="1"/>
  <c r="S22" i="1"/>
  <c r="R7" i="1"/>
  <c r="S9" i="1"/>
  <c r="R18" i="1"/>
  <c r="R96" i="1"/>
  <c r="R38" i="1"/>
  <c r="R63" i="1"/>
  <c r="S23" i="1"/>
  <c r="R12" i="1"/>
  <c r="S77" i="1"/>
  <c r="S36" i="1"/>
  <c r="S35" i="1"/>
  <c r="S37" i="1"/>
  <c r="S25" i="1"/>
  <c r="S8" i="1"/>
  <c r="S44" i="1"/>
  <c r="R67" i="1"/>
  <c r="R3" i="1"/>
  <c r="R13" i="1"/>
  <c r="S45" i="1"/>
  <c r="R24" i="1"/>
  <c r="R91" i="1"/>
  <c r="S74" i="1"/>
  <c r="R49" i="1"/>
  <c r="R69" i="1"/>
  <c r="R33" i="1"/>
  <c r="S28" i="1"/>
  <c r="S2" i="1"/>
  <c r="S96" i="1"/>
  <c r="R6" i="1"/>
  <c r="R50" i="1"/>
  <c r="R74" i="1"/>
  <c r="R53" i="1"/>
  <c r="S33" i="1"/>
  <c r="R98" i="1"/>
  <c r="R70" i="1"/>
  <c r="S38" i="1"/>
  <c r="S42" i="1"/>
  <c r="S26" i="1"/>
  <c r="R4" i="1"/>
  <c r="S53" i="1"/>
  <c r="R95" i="1"/>
  <c r="S81" i="1"/>
  <c r="S73" i="1"/>
  <c r="S51" i="1"/>
  <c r="R40" i="1"/>
  <c r="R14" i="1"/>
  <c r="R19" i="1"/>
  <c r="R82" i="1"/>
  <c r="S94" i="1"/>
  <c r="R32" i="1"/>
  <c r="R35" i="1"/>
  <c r="R25" i="1"/>
  <c r="R87" i="1"/>
  <c r="S62" i="1"/>
  <c r="R62" i="1"/>
  <c r="R60" i="1"/>
  <c r="R37" i="1"/>
  <c r="R77" i="1"/>
  <c r="R21" i="1"/>
  <c r="R41" i="1"/>
  <c r="R27" i="1"/>
  <c r="S98" i="1"/>
  <c r="R93" i="1"/>
  <c r="R15" i="1"/>
  <c r="R56" i="1"/>
  <c r="R85" i="1"/>
  <c r="R46" i="1"/>
  <c r="S47" i="1"/>
  <c r="R44" i="1"/>
  <c r="S31" i="1"/>
  <c r="R76" i="1"/>
  <c r="R34" i="1"/>
  <c r="R55" i="1"/>
  <c r="S78" i="1"/>
  <c r="S93" i="1"/>
  <c r="S85" i="1"/>
  <c r="S100" i="1"/>
  <c r="S83" i="1"/>
  <c r="S19" i="1"/>
  <c r="R80" i="1"/>
  <c r="R58" i="1"/>
  <c r="R89" i="1"/>
</calcChain>
</file>

<file path=xl/sharedStrings.xml><?xml version="1.0" encoding="utf-8"?>
<sst xmlns="http://schemas.openxmlformats.org/spreadsheetml/2006/main" count="1233" uniqueCount="368">
  <si>
    <r>
      <t>2.</t>
    </r>
    <r>
      <rPr>
        <b/>
        <sz val="11"/>
        <color theme="1"/>
        <rFont val="Times New Roman"/>
        <family val="1"/>
      </rPr>
      <t xml:space="preserve">  </t>
    </r>
    <r>
      <rPr>
        <b/>
        <sz val="11"/>
        <color theme="1"/>
        <rFont val="Tahoma"/>
        <family val="2"/>
      </rPr>
      <t>Show Total Sales Amount by Region and Product Category</t>
    </r>
  </si>
  <si>
    <t>Region</t>
  </si>
  <si>
    <t>Product Category</t>
  </si>
  <si>
    <t>Sum of Sales Amount</t>
  </si>
  <si>
    <t>Central</t>
  </si>
  <si>
    <t>Books</t>
  </si>
  <si>
    <t>Electronics</t>
  </si>
  <si>
    <t>2. Count of Orders by Delivery Status</t>
  </si>
  <si>
    <t>Fashion</t>
  </si>
  <si>
    <t>Delivery Status</t>
  </si>
  <si>
    <t>Count of Order ID</t>
  </si>
  <si>
    <t>Home</t>
  </si>
  <si>
    <t>Cancelled</t>
  </si>
  <si>
    <t>Toys</t>
  </si>
  <si>
    <t>Delivered</t>
  </si>
  <si>
    <t>Central Total</t>
  </si>
  <si>
    <t>In Transit</t>
  </si>
  <si>
    <t>East</t>
  </si>
  <si>
    <t>Grand Total</t>
  </si>
  <si>
    <r>
      <rPr>
        <b/>
        <sz val="11"/>
        <color theme="1"/>
        <rFont val="Times New Roman"/>
        <family val="1"/>
      </rPr>
      <t xml:space="preserve"> 2. </t>
    </r>
    <r>
      <rPr>
        <b/>
        <sz val="11"/>
        <color theme="1"/>
        <rFont val="Tahoma"/>
        <family val="2"/>
      </rPr>
      <t>Average Delivery Time = Delivery Date – Order Date</t>
    </r>
  </si>
  <si>
    <t>Average of Time in delivery(Days)</t>
  </si>
  <si>
    <t>East Total</t>
  </si>
  <si>
    <t>North</t>
  </si>
  <si>
    <t>2. Add filter for Payment Method and Product Category</t>
  </si>
  <si>
    <t>(All)</t>
  </si>
  <si>
    <t>Payment Method</t>
  </si>
  <si>
    <t>North Total</t>
  </si>
  <si>
    <t>South</t>
  </si>
  <si>
    <t>South Total</t>
  </si>
  <si>
    <t>West</t>
  </si>
  <si>
    <t>West Total</t>
  </si>
  <si>
    <t>KPI Cards</t>
  </si>
  <si>
    <t>4. Total Revenue</t>
  </si>
  <si>
    <t>4. Create a field: Cancellation Rate by Region (Cancelled Orders / Total Orders)</t>
  </si>
  <si>
    <t>Sum of Cancelled Flag</t>
  </si>
  <si>
    <t>4. % of Fast Deliveries</t>
  </si>
  <si>
    <t>Order status</t>
  </si>
  <si>
    <t>Delivery  Performance</t>
  </si>
  <si>
    <t>Fast</t>
  </si>
  <si>
    <t>Slow</t>
  </si>
  <si>
    <t>4. Top 3 Performing Regions</t>
  </si>
  <si>
    <t>4. Add Calculated Field in Pivot: Effective Sales = Sales Amount for Delivered Orders only</t>
  </si>
  <si>
    <t>Sum of Effective Sales Amount</t>
  </si>
  <si>
    <t xml:space="preserve">Product Name </t>
  </si>
  <si>
    <t>Smartphone</t>
  </si>
  <si>
    <t>5. Use Pivot Charts and Slicers to allow filtering by Region, Payment Method, and Delivery Status</t>
  </si>
  <si>
    <t>5. Highlight high-performing regions or products using Conditional Formatting</t>
  </si>
  <si>
    <t>Action Figure</t>
  </si>
  <si>
    <t>Backpack</t>
  </si>
  <si>
    <t>Bluetooth Speaker</t>
  </si>
  <si>
    <t>Cookware Set</t>
  </si>
  <si>
    <t>5. Add a drop-down to filter sales by Month (group Order Date in Pivot)</t>
  </si>
  <si>
    <t>Cookware Set Pro</t>
  </si>
  <si>
    <t>Order Date</t>
  </si>
  <si>
    <t>Doll House</t>
  </si>
  <si>
    <t>Formal Shirt</t>
  </si>
  <si>
    <t>Gaming Mouse</t>
  </si>
  <si>
    <t>Headphones</t>
  </si>
  <si>
    <t>Jeans</t>
  </si>
  <si>
    <t>Lamp</t>
  </si>
  <si>
    <t>Leg Set</t>
  </si>
  <si>
    <t>Magazine</t>
  </si>
  <si>
    <t>DELIVERY PERFORMANCE BY ORDER ID</t>
  </si>
  <si>
    <t>Novel</t>
  </si>
  <si>
    <t>Time in delivery(Days)</t>
  </si>
  <si>
    <t>Puzzle</t>
  </si>
  <si>
    <t>Shoes</t>
  </si>
  <si>
    <t>Smartwatch</t>
  </si>
  <si>
    <t>Textbook</t>
  </si>
  <si>
    <t>T-Shirt</t>
  </si>
  <si>
    <t>Vacuum Cleaner</t>
  </si>
  <si>
    <t>Wall Clock</t>
  </si>
  <si>
    <t>1. What is the most successful product category in terms of revenue?</t>
  </si>
  <si>
    <t>&gt;&gt;Electronics is the most successful product category, generating the highest revenue compared to other categories</t>
  </si>
  <si>
    <t>2. Which region has the highest order cancellation rate?</t>
  </si>
  <si>
    <t>&gt;&gt;The North region has the highest cancellation rate, indicating potential delivery or supply issues.</t>
  </si>
  <si>
    <t>3. How many orders were delivered within 2 days?</t>
  </si>
  <si>
    <t>&gt;&gt;7 deliveres are delivered within 2 days.</t>
  </si>
  <si>
    <t>4. How has the use of XLOOKUP simplified cross-sheet analysis?</t>
  </si>
  <si>
    <t>&gt;&gt;XLOOKUP simplified cross-sheet analysis by replacing complex VLOOKUP formulas.</t>
  </si>
  <si>
    <t xml:space="preserve">It allows dynamic lookups in any direction, eliminates column index errors, and provides built-in error handling, </t>
  </si>
  <si>
    <t>making data reconciliation faster and more reliable.</t>
  </si>
  <si>
    <t>5. What recommendations would you give to improve delivery performance?</t>
  </si>
  <si>
    <t>&gt;&gt;Overall, the dashboard highlights key revenue drivers and delivery bottlenecks, enabling data-driven decisions to improve customer satisfaction and operational efficiency.</t>
  </si>
  <si>
    <t>Order ID</t>
  </si>
  <si>
    <t>Month</t>
  </si>
  <si>
    <t>Year</t>
  </si>
  <si>
    <t>Delivery Date</t>
  </si>
  <si>
    <t>Cancel Date</t>
  </si>
  <si>
    <t>Customer ID</t>
  </si>
  <si>
    <t>Product ID</t>
  </si>
  <si>
    <t>Sale Price/Unit</t>
  </si>
  <si>
    <t>Quantity</t>
  </si>
  <si>
    <t>Total Amount</t>
  </si>
  <si>
    <t>Fulfillment Partner</t>
  </si>
  <si>
    <t>Sales Amount</t>
  </si>
  <si>
    <t>Customer Name</t>
  </si>
  <si>
    <t>Date of Delivery</t>
  </si>
  <si>
    <t>Cancelled Flag</t>
  </si>
  <si>
    <t>ORD0001</t>
  </si>
  <si>
    <t>CUST021</t>
  </si>
  <si>
    <t>PROD012</t>
  </si>
  <si>
    <t>Apple Pay</t>
  </si>
  <si>
    <t>DHL</t>
  </si>
  <si>
    <t>ORD0002</t>
  </si>
  <si>
    <t>CUST029</t>
  </si>
  <si>
    <t>PROD018</t>
  </si>
  <si>
    <t>Credit Card</t>
  </si>
  <si>
    <t>ORD0003</t>
  </si>
  <si>
    <t>PROD013</t>
  </si>
  <si>
    <t>USPS</t>
  </si>
  <si>
    <t>ORD0004</t>
  </si>
  <si>
    <t>CUST044</t>
  </si>
  <si>
    <t>PayPal</t>
  </si>
  <si>
    <t>UPS</t>
  </si>
  <si>
    <t>ORD0005</t>
  </si>
  <si>
    <t>CUST027</t>
  </si>
  <si>
    <t>PROD010</t>
  </si>
  <si>
    <t>Amazon Logistics</t>
  </si>
  <si>
    <t>ORD0006</t>
  </si>
  <si>
    <t>CUST009</t>
  </si>
  <si>
    <t>Amazon Pay</t>
  </si>
  <si>
    <t>ORD0007</t>
  </si>
  <si>
    <t>CUST042</t>
  </si>
  <si>
    <t>PROD020</t>
  </si>
  <si>
    <t>Debit Card</t>
  </si>
  <si>
    <t>ORD0008</t>
  </si>
  <si>
    <t>CUST019</t>
  </si>
  <si>
    <t>PROD021</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</si>
  <si>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</si>
  <si>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</si>
  <si>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</si>
  <si>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</si>
  <si>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</si>
  <si>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</si>
  <si>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</si>
  <si>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</si>
  <si>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</si>
  <si>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</si>
  <si>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</si>
  <si>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</si>
  <si>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</si>
  <si>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</si>
  <si>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</si>
  <si>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</si>
  <si>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</si>
  <si>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</si>
  <si>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</si>
  <si>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</si>
  <si>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</si>
  <si>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</si>
  <si>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</si>
  <si>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</si>
  <si>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</si>
  <si>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</si>
  <si>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</si>
  <si>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</si>
  <si>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</si>
  <si>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</si>
  <si>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</si>
  <si>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</si>
  <si>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</si>
  <si>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</si>
  <si>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</si>
  <si>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</si>
  <si>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</si>
  <si>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</si>
  <si>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</si>
  <si>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</si>
  <si>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</si>
  <si>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</si>
  <si>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</si>
  <si>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</si>
  <si>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</si>
  <si>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</si>
  <si>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</si>
  <si>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</si>
  <si>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</si>
  <si>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</si>
  <si>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</si>
  <si>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</si>
  <si>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</si>
  <si>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</si>
  <si>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</si>
  <si>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</si>
  <si>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</si>
  <si>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</si>
  <si>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</si>
  <si>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</si>
  <si>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</si>
  <si>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</si>
  <si>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</si>
  <si>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</si>
  <si>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</si>
  <si>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</si>
  <si>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</si>
  <si>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</si>
  <si>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</si>
  <si>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</si>
  <si>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</si>
  <si>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</si>
  <si>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</si>
  <si>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</si>
  <si>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</si>
  <si>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</si>
  <si>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</si>
  <si>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</si>
  <si>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</si>
  <si>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</si>
  <si>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</si>
  <si>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</si>
  <si>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</si>
  <si>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</si>
  <si>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</si>
  <si>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</si>
  <si>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</si>
  <si>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</si>
  <si>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</si>
  <si>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</si>
  <si>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</si>
  <si>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</si>
  <si>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</si>
  <si>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</si>
  <si>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</si>
  <si>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</si>
  <si>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</si>
  <si>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</si>
  <si>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</si>
  <si>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</si>
  <si>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</si>
  <si>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</si>
  <si>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</si>
  <si>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</si>
  <si>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</si>
  <si>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</si>
  <si>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</si>
  <si>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</si>
  <si>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</si>
  <si>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</si>
  <si>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</si>
  <si>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</si>
  <si>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</si>
  <si>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</si>
  <si>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</si>
  <si>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</si>
  <si>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</si>
  <si>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</si>
  <si>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</si>
  <si>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</si>
  <si>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</si>
  <si>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</si>
  <si>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</si>
  <si>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</si>
  <si>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</si>
  <si>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</si>
  <si>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</si>
  <si>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</si>
  <si>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</si>
  <si>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</si>
  <si>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</si>
  <si>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</si>
  <si>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</si>
  <si>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</si>
  <si>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</si>
  <si>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</si>
  <si>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</si>
  <si>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</si>
  <si>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</si>
  <si>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</si>
  <si>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</si>
  <si>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</si>
  <si>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</si>
  <si>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</si>
  <si>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</si>
  <si>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</si>
  <si>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</si>
  <si>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</si>
  <si>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Latest model with 5G, dual SIM, and OLED display</t>
  </si>
  <si>
    <t>Collectible superhero action figure for ages 8+</t>
  </si>
  <si>
    <t>Non-stick 5-piece cookware set for daily use</t>
  </si>
  <si>
    <t>300-piece creative building block toy set</t>
  </si>
  <si>
    <t>Cotton t-shirt, available in multiple colors</t>
  </si>
  <si>
    <t>Casual wear shoes for men and women</t>
  </si>
  <si>
    <t>1000-piece jigsaw puzzle</t>
  </si>
  <si>
    <t>University-level textbook on computer science</t>
  </si>
  <si>
    <t>Monthly lifestyle magazine</t>
  </si>
  <si>
    <t>Slim fit denim jeans with stretch</t>
  </si>
  <si>
    <t>Wireless noise-cancelling over-ear headphones</t>
  </si>
  <si>
    <t>LED desk lamp with dimmable light</t>
  </si>
  <si>
    <t>Portable cordless vacuum cleaner</t>
  </si>
  <si>
    <t>Fitness-focused smartwatch with heart rate monitoring</t>
  </si>
  <si>
    <t>Best-selling fiction novel</t>
  </si>
  <si>
    <t>Premium 10-piece stainless steel cookware collection</t>
  </si>
  <si>
    <t>High DPI gaming mouse with RGB lighting</t>
  </si>
  <si>
    <t>Wooden doll house with accessories</t>
  </si>
  <si>
    <t>Long-sleeve formal shirt for office wear</t>
  </si>
  <si>
    <t>Portable speaker with deep bass and 12h battery life</t>
  </si>
  <si>
    <t>Silent quartz wall clock with modern design</t>
  </si>
  <si>
    <t>Waterproof backpack with laptop compartment</t>
  </si>
  <si>
    <t>Sales Target</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</si>
  <si>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</si>
  <si>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</si>
  <si>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</si>
  <si>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</si>
  <si>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</si>
  <si>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</si>
  <si>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</si>
  <si>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</si>
  <si>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</si>
  <si>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</si>
  <si>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</si>
  <si>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</si>
  <si>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</si>
  <si>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</si>
  <si>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</si>
  <si>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</si>
  <si>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</si>
  <si>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</si>
  <si>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</si>
  <si>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</si>
  <si>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</si>
  <si>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</si>
  <si>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</si>
  <si>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</si>
  <si>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</si>
  <si>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</si>
  <si>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</si>
  <si>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</si>
  <si>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</si>
  <si>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</si>
  <si>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</si>
  <si>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</si>
  <si>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</si>
  <si>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</si>
  <si>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</si>
  <si>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</si>
  <si>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</si>
  <si>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</si>
  <si>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</si>
  <si>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</si>
  <si>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</si>
  <si>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</si>
  <si>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</si>
  <si>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</si>
  <si>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</si>
  <si>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</si>
  <si>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</si>
  <si>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</si>
  <si>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</si>
  <si>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</si>
  <si>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</si>
  <si>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</si>
  <si>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</si>
  <si>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</si>
  <si>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</si>
  <si>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</si>
  <si>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</si>
  <si>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</si>
  <si>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</si>
  <si>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</si>
  <si>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</si>
  <si>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Key Insights</t>
  </si>
  <si>
    <t>6.  Interactive Filters:</t>
  </si>
  <si>
    <r>
      <t xml:space="preserve">1.  Total Revenue: </t>
    </r>
    <r>
      <rPr>
        <b/>
        <sz val="20"/>
        <color theme="0"/>
        <rFont val="Aparajita"/>
        <family val="1"/>
      </rPr>
      <t>35,258</t>
    </r>
  </si>
  <si>
    <r>
      <t xml:space="preserve">2.  Top Performing Region: </t>
    </r>
    <r>
      <rPr>
        <b/>
        <sz val="20"/>
        <color theme="0"/>
        <rFont val="Aparajita"/>
        <family val="1"/>
      </rPr>
      <t>North (10,491)</t>
    </r>
  </si>
  <si>
    <r>
      <t xml:space="preserve">3.  Highest Selling Product: </t>
    </r>
    <r>
      <rPr>
        <b/>
        <sz val="20"/>
        <color theme="0"/>
        <rFont val="Aparajita"/>
        <family val="1"/>
      </rPr>
      <t>Smartphone</t>
    </r>
  </si>
  <si>
    <r>
      <t xml:space="preserve">4.  Fast Deliveries: </t>
    </r>
    <r>
      <rPr>
        <b/>
        <sz val="20"/>
        <color theme="0"/>
        <rFont val="Aparajita"/>
        <family val="1"/>
      </rPr>
      <t>77% of Orders</t>
    </r>
  </si>
  <si>
    <r>
      <t xml:space="preserve">5. Top Regions: </t>
    </r>
    <r>
      <rPr>
        <b/>
        <sz val="20"/>
        <color theme="0"/>
        <rFont val="Aparajita"/>
        <family val="1"/>
      </rPr>
      <t>North &amp; West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</si>
</sst>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_-* #,##0_-;\-* #,##0_-;_-* &quot;-&quot;??_-;_-@_-"/>
  </numFmts>
  <fonts count="14" x14ac:knownFonts="1">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b/>
      <sz val="11"/>
      <color theme="1"/>
      <name val="Tahoma"/>
      <family val="2"/>
    </font>
    <font>
      <b/>
      <sz val="11"/>
      <color theme="1"/>
      <name val="Times New Roman"/>
      <family val="1"/>
    </font>
    <font>
      <b/>
      <sz val="18"/>
      <color theme="0"/>
      <name val="Calibri"/>
      <family val="2"/>
      <scheme val="minor"/>
    </font>
    <font>
      <sz val="11"/>
      <color theme="0"/>
      <name val="Calibri"/>
      <family val="2"/>
      <scheme val="minor"/>
    </font>
    <font>
      <sz val="14"/>
      <color theme="1"/>
      <name val="Aparajita"/>
      <family val="1"/>
    </font>
    <font>
      <sz val="14"/>
      <color theme="0"/>
      <name val="Aparajita"/>
      <family val="1"/>
    </font>
    <font>
      <b/>
      <u/>
      <sz val="20"/>
      <color theme="0"/>
      <name val="Aparajita"/>
      <family val="1"/>
    </font>
    <font>
      <sz val="20"/>
      <color theme="0"/>
      <name val="Aparajita"/>
      <family val="1"/>
    </font>
    <font>
      <sz val="20"/>
      <color theme="0"/>
      <name val="Calibri"/>
      <family val="2"/>
      <scheme val="minor"/>
    </font>
    <font>
      <b/>
      <sz val="20"/>
      <color theme="0"/>
      <name val="Aparajita"/>
      <family val="1"/>
    </font>
  </fonts>
  <fills count="7">
    <fill>
      <patternFill patternType="none"/>
    </fill>
    <fill>
      <patternFill patternType="gray125"/>
    </fill>
    <fill>
      <patternFill patternType="solid">
        <fgColor rgb="FF3A543B"/>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xfId="0"/>
    <xf numFmtId="14" fontId="0" fillId="0" borderId="0" xfId="0" applyNumberFormat="1"/>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2" xfId="0" applyFont="1" applyBorder="1" applyAlignment="1">
      <alignment horizontal="left" vertical="center"/>
    </xf>
    <xf numFmtId="3" fontId="2" fillId="0" borderId="3" xfId="0" applyNumberFormat="1" applyFont="1" applyBorder="1"/>
    <xf numFmtId="0" fontId="1" fillId="0" borderId="4" xfId="0" applyFont="1" applyBorder="1" applyAlignment="1">
      <alignment horizontal="left" vertical="center"/>
    </xf>
    <xf numFmtId="0" fontId="1" fillId="0" borderId="6" xfId="0" applyFont="1" applyBorder="1" applyAlignment="1">
      <alignment horizontal="left" vertical="center"/>
    </xf>
    <xf numFmtId="0" fontId="2" fillId="0" borderId="7" xfId="0" applyFont="1" applyBorder="1" applyAlignment="1">
      <alignment horizontal="left" vertical="center"/>
    </xf>
    <xf numFmtId="3" fontId="2" fillId="0" borderId="9" xfId="0" applyNumberFormat="1" applyFont="1" applyBorder="1"/>
    <xf numFmtId="0" fontId="0" fillId="0" borderId="0" xfId="0" pivotButton="1"/>
    <xf numFmtId="0" fontId="0" fillId="0" borderId="0" xfId="0" applyNumberFormat="1"/>
    <xf numFmtId="9" fontId="0" fillId="0" borderId="10" xfId="0" applyNumberFormat="1" applyBorder="1"/>
    <xf numFmtId="0" fontId="0" fillId="2" borderId="0" xfId="0" applyFill="1"/>
    <xf numFmtId="0" fontId="3" fillId="3" borderId="0" xfId="0" applyFont="1" applyFill="1"/>
    <xf numFmtId="0" fontId="0" fillId="3" borderId="0" xfId="0" applyFill="1"/>
    <xf numFmtId="165" fontId="0" fillId="0" borderId="0" xfId="0" applyNumberFormat="1"/>
    <xf numFmtId="0" fontId="0" fillId="0" borderId="0" xfId="0" applyAlignment="1">
      <alignment wrapText="1"/>
    </xf>
    <xf numFmtId="0" fontId="0" fillId="3" borderId="0" xfId="0" applyFill="1" applyAlignment="1">
      <alignment wrapText="1"/>
    </xf>
    <xf numFmtId="0" fontId="0" fillId="0" borderId="0" xfId="0" applyBorder="1"/>
    <xf numFmtId="0" fontId="0" fillId="0" borderId="0" xfId="0" pivotButton="1" applyBorder="1"/>
    <xf numFmtId="164" fontId="0" fillId="0" borderId="0" xfId="0" pivotButton="1" applyNumberFormat="1" applyBorder="1"/>
    <xf numFmtId="9" fontId="0" fillId="0" borderId="0" xfId="0" applyNumberFormat="1" applyBorder="1"/>
    <xf numFmtId="0" fontId="0" fillId="4" borderId="0" xfId="0" applyFill="1"/>
    <xf numFmtId="0" fontId="3" fillId="4" borderId="0" xfId="0" applyFont="1" applyFill="1" applyAlignment="1">
      <alignment horizontal="left"/>
    </xf>
    <xf numFmtId="0" fontId="6" fillId="5" borderId="0" xfId="0" applyFont="1" applyFill="1" applyAlignment="1">
      <alignment horizontal="center"/>
    </xf>
    <xf numFmtId="0" fontId="4" fillId="4" borderId="0" xfId="0" applyFont="1" applyFill="1" applyAlignment="1">
      <alignment horizontal="center" vertical="center"/>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0" xfId="0" applyAlignment="1"/>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4" fillId="4" borderId="0" xfId="0" applyFont="1" applyFill="1" applyAlignment="1">
      <alignment horizontal="left" vertical="center"/>
    </xf>
    <xf numFmtId="0" fontId="4" fillId="4" borderId="0" xfId="0" applyFont="1" applyFill="1" applyAlignment="1">
      <alignment horizontal="center" vertical="center"/>
    </xf>
    <xf numFmtId="0" fontId="4" fillId="4" borderId="0" xfId="0" applyFont="1" applyFill="1" applyAlignment="1">
      <alignment horizontal="left"/>
    </xf>
    <xf numFmtId="0" fontId="4" fillId="4" borderId="0" xfId="0" applyFont="1" applyFill="1" applyAlignment="1">
      <alignment vertical="center"/>
    </xf>
    <xf numFmtId="0" fontId="0" fillId="6" borderId="0" xfId="0" applyFill="1"/>
    <xf numFmtId="0" fontId="8" fillId="6" borderId="0" xfId="0" applyFont="1" applyFill="1"/>
    <xf numFmtId="0" fontId="8" fillId="6" borderId="0" xfId="0" applyFont="1" applyFill="1" applyAlignment="1">
      <alignment horizontal="left" vertical="center" indent="1"/>
    </xf>
    <xf numFmtId="0" fontId="9" fillId="6" borderId="0" xfId="0" applyFont="1" applyFill="1"/>
    <xf numFmtId="0" fontId="7" fillId="6" borderId="0" xfId="0" applyFont="1" applyFill="1"/>
    <xf numFmtId="0" fontId="10" fillId="6" borderId="0" xfId="0" applyFont="1" applyFill="1" applyAlignment="1">
      <alignment vertical="center"/>
    </xf>
    <xf numFmtId="0" fontId="11" fillId="6" borderId="0" xfId="0" applyFont="1" applyFill="1"/>
    <xf numFmtId="0" fontId="12" fillId="6" borderId="0" xfId="0" applyFont="1" applyFill="1"/>
    <xf numFmtId="0" fontId="13" fillId="6" borderId="0" xfId="0" applyFont="1" applyFill="1"/>
    <xf numFmtId="0" fontId="11" fillId="6" borderId="0" xfId="0" applyFont="1" applyFill="1" applyAlignment="1">
      <alignment horizontal="left" vertical="center" indent="1"/>
    </xf>
  </cellXfs>
  <cellStyles count="1">
    <cellStyle name="Normal" xfId="0" builtinId="0"/>
  </cellStyles>
  <dxfs count="2246">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numFmt numFmtId="13" formatCode="0%"/>
    </dxf>
    <dxf>
      <numFmt numFmtId="167" formatCode="0.0%"/>
    </dxf>
    <dxf>
      <numFmt numFmtId="14" formatCode="0.00%"/>
    </dxf>
    <dxf>
      <numFmt numFmtId="168" formatCode="0.000%"/>
    </dxf>
    <dxf>
      <numFmt numFmtId="164" formatCode="0.0000%"/>
    </dxf>
    <dxf>
      <numFmt numFmtId="169" formatCode="0.0"/>
    </dxf>
    <dxf>
      <numFmt numFmtId="1" formatCode="0"/>
    </dxf>
    <dxf>
      <numFmt numFmtId="13" formatCode="0%"/>
    </dxf>
    <dxf>
      <numFmt numFmtId="13" formatCode="0%"/>
    </dxf>
    <dxf>
      <numFmt numFmtId="13" formatCode="0%"/>
    </dxf>
    <dxf>
      <numFmt numFmtId="2" formatCode="0.00"/>
    </dxf>
    <dxf>
      <numFmt numFmtId="169" formatCode="0.0"/>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0%"/>
    </dxf>
    <dxf>
      <numFmt numFmtId="164" formatCode="0.0000%"/>
    </dxf>
    <dxf>
      <numFmt numFmtId="168" formatCode="0.000%"/>
    </dxf>
    <dxf>
      <numFmt numFmtId="14" formatCode="0.00%"/>
    </dxf>
    <dxf>
      <numFmt numFmtId="167" formatCode="0.0%"/>
    </dxf>
    <dxf>
      <numFmt numFmtId="13" formatCode="0%"/>
    </dxf>
    <dxf>
      <border>
        <left/>
        <right/>
        <top/>
        <bottom/>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35" formatCode="_-* #,##0.00_-;\-* #,##0.00_-;_-* &quot;-&quot;??_-;_-@_-"/>
    </dxf>
    <dxf>
      <numFmt numFmtId="166" formatCode="_-* #,##0.0_-;\-* #,##0.0_-;_-* &quot;-&quot;??_-;_-@_-"/>
    </dxf>
    <dxf>
      <numFmt numFmtId="165" formatCode="_-* #,##0_-;\-* #,##0_-;_-* &quot;-&quot;??_-;_-@_-"/>
    </dxf>
    <dxf>
      <numFmt numFmtId="35" formatCode="_-* #,##0.00_-;\-* #,##0.00_-;_-* &quot;-&quot;??_-;_-@_-"/>
    </dxf>
    <dxf>
      <numFmt numFmtId="166" formatCode="_-* #,##0.0_-;\-* #,##0.0_-;_-* &quot;-&quot;??_-;_-@_-"/>
    </dxf>
    <dxf>
      <numFmt numFmtId="165" formatCode="_-* #,##0_-;\-* #,##0_-;_-* &quot;-&quot;??_-;_-@_-"/>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general" textRotation="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outline="0">
        <left style="thin">
          <color rgb="FF000000"/>
        </left>
        <right style="thin">
          <color rgb="FF000000"/>
        </right>
        <top/>
        <bottom/>
      </border>
    </dxf>
    <dxf>
      <numFmt numFmtId="19" formatCode="dd/mm/yyyy"/>
    </dxf>
    <dxf>
      <numFmt numFmtId="0" formatCode="General"/>
    </dxf>
    <dxf>
      <numFmt numFmtId="0" formatCode="General"/>
    </dxf>
    <dxf>
      <numFmt numFmtId="19" formatCode="dd/mm/yyyy"/>
    </dxf>
    <dxf>
      <numFmt numFmtId="19" formatCode="dd/mm/yyyy"/>
    </dxf>
    <dxf>
      <numFmt numFmtId="19" formatCode="dd/mm/yyyy"/>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border>
    </dxf>
    <dxf>
      <numFmt numFmtId="13" formatCode="0%"/>
    </dxf>
    <dxf>
      <numFmt numFmtId="167" formatCode="0.0%"/>
    </dxf>
    <dxf>
      <numFmt numFmtId="14" formatCode="0.00%"/>
    </dxf>
    <dxf>
      <numFmt numFmtId="168" formatCode="0.000%"/>
    </dxf>
    <dxf>
      <numFmt numFmtId="164" formatCode="0.0000%"/>
    </dxf>
    <dxf>
      <numFmt numFmtId="168" formatCode="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 formatCode="0"/>
    </dxf>
    <dxf>
      <numFmt numFmtId="169" formatCode="0.0"/>
    </dxf>
    <dxf>
      <numFmt numFmtId="2" formatCode="0.00"/>
    </dxf>
    <dxf>
      <numFmt numFmtId="13" formatCode="0%"/>
    </dxf>
    <dxf>
      <numFmt numFmtId="13" formatCode="0%"/>
    </dxf>
    <dxf>
      <numFmt numFmtId="13" formatCode="0%"/>
    </dxf>
    <dxf>
      <numFmt numFmtId="1" formatCode="0"/>
    </dxf>
    <dxf>
      <numFmt numFmtId="169" formatCode="0.0"/>
    </dxf>
    <dxf>
      <numFmt numFmtId="164" formatCode="0.0000%"/>
    </dxf>
    <dxf>
      <numFmt numFmtId="168" formatCode="0.000%"/>
    </dxf>
    <dxf>
      <numFmt numFmtId="14" formatCode="0.00%"/>
    </dxf>
    <dxf>
      <numFmt numFmtId="167" formatCode="0.0%"/>
    </dxf>
    <dxf>
      <numFmt numFmtId="13" formatCode="0%"/>
    </dxf>
    <dxf>
      <numFmt numFmtId="165" formatCode="_-* #,##0_-;\-* #,##0_-;_-* &quot;-&quot;??_-;_-@_-"/>
    </dxf>
    <dxf>
      <numFmt numFmtId="166" formatCode="_-* #,##0.0_-;\-* #,##0.0_-;_-* &quot;-&quot;??_-;_-@_-"/>
    </dxf>
    <dxf>
      <numFmt numFmtId="35" formatCode="_-* #,##0.00_-;\-* #,##0.00_-;_-* &quot;-&quot;??_-;_-@_-"/>
    </dxf>
    <dxf>
      <numFmt numFmtId="165" formatCode="_-* #,##0_-;\-* #,##0_-;_-* &quot;-&quot;??_-;_-@_-"/>
    </dxf>
    <dxf>
      <numFmt numFmtId="166" formatCode="_-* #,##0.0_-;\-* #,##0.0_-;_-* &quot;-&quot;??_-;_-@_-"/>
    </dxf>
    <dxf>
      <numFmt numFmtId="35" formatCode="_-* #,##0.00_-;\-* #,##0.00_-;_-* &quot;-&quot;??_-;_-@_-"/>
    </dxf>
  </dxfs>
  <tableStyles count="0" defaultTableStyle="TableStyleMedium2" defaultPivotStyle="PivotStyleLight16"/>
  <colors>
    <mruColors>
      <color rgb="FF3A54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 PROJECT WEEK_3.xlsx]Pivot!PivotTable1</c:name>
    <c:fmtId val="8"/>
  </c:pivotSource>
  <c:chart>
    <c:title>
      <c:tx>
        <c:rich>
          <a:bodyPr rot="0" spcFirstLastPara="1" vertOverflow="ellipsis" vert="horz" wrap="square" anchor="ctr" anchorCtr="1"/>
          <a:lstStyle/>
          <a:p>
            <a:pPr>
              <a:defRPr sz="1600" b="1" i="0" u="none" strike="noStrike" kern="1200" cap="all" spc="0" baseline="0">
                <a:solidFill>
                  <a:sysClr val="windowText" lastClr="000000"/>
                </a:solidFill>
                <a:latin typeface="+mn-lt"/>
                <a:ea typeface="+mn-ea"/>
                <a:cs typeface="+mn-cs"/>
              </a:defRPr>
            </a:pPr>
            <a:r>
              <a:rPr lang="en-GB" sz="1600" b="1">
                <a:solidFill>
                  <a:sysClr val="windowText" lastClr="000000"/>
                </a:solidFill>
              </a:rPr>
              <a:t>TOTAL SALES AMOUNT BY REGION AND PRODUCT CATEGORY</a:t>
            </a:r>
          </a:p>
        </c:rich>
      </c:tx>
      <c:layout>
        <c:manualLayout>
          <c:xMode val="edge"/>
          <c:yMode val="edge"/>
          <c:x val="2.5203514957160805E-2"/>
          <c:y val="5.3295148827749654E-2"/>
        </c:manualLayout>
      </c:layout>
      <c:overlay val="0"/>
      <c:spPr>
        <a:noFill/>
        <a:ln>
          <a:noFill/>
        </a:ln>
        <a:effectLst/>
      </c:spPr>
      <c:txPr>
        <a:bodyPr rot="0" spcFirstLastPara="1" vertOverflow="ellipsis" vert="horz" wrap="square" anchor="ctr" anchorCtr="1"/>
        <a:lstStyle/>
        <a:p>
          <a:pPr>
            <a:defRPr sz="1600" b="1" i="0" u="none" strike="noStrike" kern="1200" cap="all" spc="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1444930411652702E-2"/>
          <c:y val="0.24557341785665857"/>
          <c:w val="0.98077662705586144"/>
          <c:h val="0.42614175947509281"/>
        </c:manualLayout>
      </c:layout>
      <c:lineChart>
        <c:grouping val="stacked"/>
        <c:varyColors val="0"/>
        <c:ser>
          <c:idx val="0"/>
          <c:order val="0"/>
          <c:tx>
            <c:strRef>
              <c:f>Pivot!$C$3</c:f>
              <c:strCache>
                <c:ptCount val="1"/>
                <c:pt idx="0">
                  <c:v>Total</c:v>
                </c:pt>
              </c:strCache>
            </c:strRef>
          </c:tx>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Pivot!$A$4:$B$34</c:f>
              <c:multiLvlStrCache>
                <c:ptCount val="25"/>
                <c:lvl>
                  <c:pt idx="0">
                    <c:v>Books</c:v>
                  </c:pt>
                  <c:pt idx="1">
                    <c:v>Electronics</c:v>
                  </c:pt>
                  <c:pt idx="2">
                    <c:v>Fashion</c:v>
                  </c:pt>
                  <c:pt idx="3">
                    <c:v>Home</c:v>
                  </c:pt>
                  <c:pt idx="4">
                    <c:v>Toys</c:v>
                  </c:pt>
                  <c:pt idx="5">
                    <c:v>Books</c:v>
                  </c:pt>
                  <c:pt idx="6">
                    <c:v>Electronics</c:v>
                  </c:pt>
                  <c:pt idx="7">
                    <c:v>Fashion</c:v>
                  </c:pt>
                  <c:pt idx="8">
                    <c:v>Home</c:v>
                  </c:pt>
                  <c:pt idx="9">
                    <c:v>Toys</c:v>
                  </c:pt>
                  <c:pt idx="10">
                    <c:v>Books</c:v>
                  </c:pt>
                  <c:pt idx="11">
                    <c:v>Electronics</c:v>
                  </c:pt>
                  <c:pt idx="12">
                    <c:v>Fashion</c:v>
                  </c:pt>
                  <c:pt idx="13">
                    <c:v>Home</c:v>
                  </c:pt>
                  <c:pt idx="14">
                    <c:v>Toys</c:v>
                  </c:pt>
                  <c:pt idx="15">
                    <c:v>Books</c:v>
                  </c:pt>
                  <c:pt idx="16">
                    <c:v>Electronics</c:v>
                  </c:pt>
                  <c:pt idx="17">
                    <c:v>Fashion</c:v>
                  </c:pt>
                  <c:pt idx="18">
                    <c:v>Home</c:v>
                  </c:pt>
                  <c:pt idx="19">
                    <c:v>Toys</c:v>
                  </c:pt>
                  <c:pt idx="20">
                    <c:v>Books</c:v>
                  </c:pt>
                  <c:pt idx="21">
                    <c:v>Electronics</c:v>
                  </c:pt>
                  <c:pt idx="22">
                    <c:v>Fashion</c:v>
                  </c:pt>
                  <c:pt idx="23">
                    <c:v>Home</c:v>
                  </c:pt>
                  <c:pt idx="24">
                    <c:v>Toys</c:v>
                  </c:pt>
                </c:lvl>
                <c:lvl>
                  <c:pt idx="0">
                    <c:v>Central</c:v>
                  </c:pt>
                  <c:pt idx="5">
                    <c:v>East</c:v>
                  </c:pt>
                  <c:pt idx="10">
                    <c:v>North</c:v>
                  </c:pt>
                  <c:pt idx="15">
                    <c:v>South</c:v>
                  </c:pt>
                  <c:pt idx="20">
                    <c:v>West</c:v>
                  </c:pt>
                </c:lvl>
              </c:multiLvlStrCache>
            </c:multiLvlStrRef>
          </c:cat>
          <c:val>
            <c:numRef>
              <c:f>Pivot!$C$4:$C$34</c:f>
              <c:numCache>
                <c:formatCode>General</c:formatCode>
                <c:ptCount val="25"/>
                <c:pt idx="0">
                  <c:v>84</c:v>
                </c:pt>
                <c:pt idx="1">
                  <c:v>2662</c:v>
                </c:pt>
                <c:pt idx="2">
                  <c:v>210</c:v>
                </c:pt>
                <c:pt idx="3">
                  <c:v>2063</c:v>
                </c:pt>
                <c:pt idx="4">
                  <c:v>437</c:v>
                </c:pt>
                <c:pt idx="5">
                  <c:v>394</c:v>
                </c:pt>
                <c:pt idx="6">
                  <c:v>365</c:v>
                </c:pt>
                <c:pt idx="7">
                  <c:v>711</c:v>
                </c:pt>
                <c:pt idx="8">
                  <c:v>741</c:v>
                </c:pt>
                <c:pt idx="9">
                  <c:v>1424</c:v>
                </c:pt>
                <c:pt idx="10">
                  <c:v>464</c:v>
                </c:pt>
                <c:pt idx="11">
                  <c:v>6522</c:v>
                </c:pt>
                <c:pt idx="12">
                  <c:v>788</c:v>
                </c:pt>
                <c:pt idx="13">
                  <c:v>2131</c:v>
                </c:pt>
                <c:pt idx="14">
                  <c:v>586</c:v>
                </c:pt>
                <c:pt idx="15">
                  <c:v>423</c:v>
                </c:pt>
                <c:pt idx="16">
                  <c:v>3938</c:v>
                </c:pt>
                <c:pt idx="17">
                  <c:v>1032</c:v>
                </c:pt>
                <c:pt idx="18">
                  <c:v>1881</c:v>
                </c:pt>
                <c:pt idx="19">
                  <c:v>43</c:v>
                </c:pt>
                <c:pt idx="20">
                  <c:v>350</c:v>
                </c:pt>
                <c:pt idx="21">
                  <c:v>1722</c:v>
                </c:pt>
                <c:pt idx="22">
                  <c:v>1131</c:v>
                </c:pt>
                <c:pt idx="23">
                  <c:v>4135</c:v>
                </c:pt>
                <c:pt idx="24">
                  <c:v>1021</c:v>
                </c:pt>
              </c:numCache>
            </c:numRef>
          </c:val>
          <c:smooth val="0"/>
          <c:extLst>
            <c:ext xmlns:c16="http://schemas.microsoft.com/office/drawing/2014/chart" uri="{C3380CC4-5D6E-409C-BE32-E72D297353CC}">
              <c16:uniqueId val="{00000000-D248-4A5E-BD1D-33CE933E8E6F}"/>
            </c:ext>
          </c:extLst>
        </c:ser>
        <c:dLbls>
          <c:dLblPos val="ctr"/>
          <c:showLegendKey val="0"/>
          <c:showVal val="1"/>
          <c:showCatName val="0"/>
          <c:showSerName val="0"/>
          <c:showPercent val="0"/>
          <c:showBubbleSize val="0"/>
        </c:dLbls>
        <c:marker val="1"/>
        <c:smooth val="0"/>
        <c:axId val="221892640"/>
        <c:axId val="221893472"/>
      </c:lineChart>
      <c:catAx>
        <c:axId val="2218926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21893472"/>
        <c:crosses val="autoZero"/>
        <c:auto val="1"/>
        <c:lblAlgn val="ctr"/>
        <c:lblOffset val="100"/>
        <c:noMultiLvlLbl val="0"/>
      </c:catAx>
      <c:valAx>
        <c:axId val="221893472"/>
        <c:scaling>
          <c:orientation val="minMax"/>
        </c:scaling>
        <c:delete val="1"/>
        <c:axPos val="l"/>
        <c:numFmt formatCode="General" sourceLinked="1"/>
        <c:majorTickMark val="none"/>
        <c:minorTickMark val="none"/>
        <c:tickLblPos val="nextTo"/>
        <c:crossAx val="221892640"/>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 WEEK_3.xlsx]Pivot!PivotTable7</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800">
                <a:solidFill>
                  <a:schemeClr val="tx1"/>
                </a:solidFill>
              </a:rPr>
              <a:t>CANCELLATION</a:t>
            </a:r>
            <a:r>
              <a:rPr lang="en-GB" sz="1800" baseline="0">
                <a:solidFill>
                  <a:schemeClr val="tx1"/>
                </a:solidFill>
              </a:rPr>
              <a:t> RATE BY REGION</a:t>
            </a:r>
            <a:endParaRPr lang="en-GB" sz="1800">
              <a:solidFill>
                <a:schemeClr val="tx1"/>
              </a:solidFill>
            </a:endParaRPr>
          </a:p>
        </c:rich>
      </c:tx>
      <c:layout>
        <c:manualLayout>
          <c:xMode val="edge"/>
          <c:yMode val="edge"/>
          <c:x val="2.4190402020452008E-2"/>
          <c:y val="5.181716761069554E-2"/>
        </c:manualLayout>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1440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2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1440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95526979913922"/>
          <c:y val="0.32656127852936484"/>
          <c:w val="0.80577670962851811"/>
          <c:h val="0.57628570200433205"/>
        </c:manualLayout>
      </c:layout>
      <c:bar3DChart>
        <c:barDir val="bar"/>
        <c:grouping val="clustered"/>
        <c:varyColors val="0"/>
        <c:ser>
          <c:idx val="0"/>
          <c:order val="0"/>
          <c:tx>
            <c:strRef>
              <c:f>Pivot!$B$40</c:f>
              <c:strCache>
                <c:ptCount val="1"/>
                <c:pt idx="0">
                  <c:v>Sum of Cancelled Flag</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1440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chemeClr val="tx1">
                          <a:lumMod val="35000"/>
                          <a:lumOff val="65000"/>
                        </a:schemeClr>
                      </a:solidFill>
                      <a:round/>
                    </a:ln>
                    <a:effectLst/>
                  </c:spPr>
                </c15:leaderLines>
              </c:ext>
            </c:extLst>
          </c:dLbls>
          <c:cat>
            <c:strRef>
              <c:f>Pivot!$A$41:$A$46</c:f>
              <c:strCache>
                <c:ptCount val="5"/>
                <c:pt idx="0">
                  <c:v>Central</c:v>
                </c:pt>
                <c:pt idx="1">
                  <c:v>East</c:v>
                </c:pt>
                <c:pt idx="2">
                  <c:v>North</c:v>
                </c:pt>
                <c:pt idx="3">
                  <c:v>South</c:v>
                </c:pt>
                <c:pt idx="4">
                  <c:v>West</c:v>
                </c:pt>
              </c:strCache>
            </c:strRef>
          </c:cat>
          <c:val>
            <c:numRef>
              <c:f>Pivot!$B$41:$B$46</c:f>
              <c:numCache>
                <c:formatCode>General</c:formatCode>
                <c:ptCount val="5"/>
                <c:pt idx="0">
                  <c:v>5</c:v>
                </c:pt>
                <c:pt idx="1">
                  <c:v>3</c:v>
                </c:pt>
                <c:pt idx="2">
                  <c:v>10</c:v>
                </c:pt>
                <c:pt idx="3">
                  <c:v>4</c:v>
                </c:pt>
                <c:pt idx="4">
                  <c:v>8</c:v>
                </c:pt>
              </c:numCache>
            </c:numRef>
          </c:val>
          <c:extLst>
            <c:ext xmlns:c16="http://schemas.microsoft.com/office/drawing/2014/chart" uri="{C3380CC4-5D6E-409C-BE32-E72D297353CC}">
              <c16:uniqueId val="{00000000-63D9-4AAC-9DB4-1AE39996FB83}"/>
            </c:ext>
          </c:extLst>
        </c:ser>
        <c:ser>
          <c:idx val="1"/>
          <c:order val="1"/>
          <c:tx>
            <c:strRef>
              <c:f>Pivot!$C$40</c:f>
              <c:strCache>
                <c:ptCount val="1"/>
                <c:pt idx="0">
                  <c:v>Count of Order ID</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1440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layout/>
                <c15:showLeaderLines val="1"/>
                <c15:leaderLines>
                  <c:spPr>
                    <a:ln w="9525" cap="flat" cmpd="sng" algn="ctr">
                      <a:solidFill>
                        <a:schemeClr val="tx1">
                          <a:lumMod val="35000"/>
                          <a:lumOff val="65000"/>
                        </a:schemeClr>
                      </a:solidFill>
                      <a:round/>
                    </a:ln>
                    <a:effectLst/>
                  </c:spPr>
                </c15:leaderLines>
              </c:ext>
            </c:extLst>
          </c:dLbls>
          <c:cat>
            <c:strRef>
              <c:f>Pivot!$A$41:$A$46</c:f>
              <c:strCache>
                <c:ptCount val="5"/>
                <c:pt idx="0">
                  <c:v>Central</c:v>
                </c:pt>
                <c:pt idx="1">
                  <c:v>East</c:v>
                </c:pt>
                <c:pt idx="2">
                  <c:v>North</c:v>
                </c:pt>
                <c:pt idx="3">
                  <c:v>South</c:v>
                </c:pt>
                <c:pt idx="4">
                  <c:v>West</c:v>
                </c:pt>
              </c:strCache>
            </c:strRef>
          </c:cat>
          <c:val>
            <c:numRef>
              <c:f>Pivot!$C$41:$C$46</c:f>
              <c:numCache>
                <c:formatCode>General</c:formatCode>
                <c:ptCount val="5"/>
                <c:pt idx="0">
                  <c:v>14</c:v>
                </c:pt>
                <c:pt idx="1">
                  <c:v>18</c:v>
                </c:pt>
                <c:pt idx="2">
                  <c:v>25</c:v>
                </c:pt>
                <c:pt idx="3">
                  <c:v>20</c:v>
                </c:pt>
                <c:pt idx="4">
                  <c:v>23</c:v>
                </c:pt>
              </c:numCache>
            </c:numRef>
          </c:val>
          <c:extLst>
            <c:ext xmlns:c16="http://schemas.microsoft.com/office/drawing/2014/chart" uri="{C3380CC4-5D6E-409C-BE32-E72D297353CC}">
              <c16:uniqueId val="{00000001-63D9-4AAC-9DB4-1AE39996FB83}"/>
            </c:ext>
          </c:extLst>
        </c:ser>
        <c:dLbls>
          <c:showLegendKey val="0"/>
          <c:showVal val="1"/>
          <c:showCatName val="0"/>
          <c:showSerName val="0"/>
          <c:showPercent val="0"/>
          <c:showBubbleSize val="0"/>
        </c:dLbls>
        <c:gapWidth val="150"/>
        <c:shape val="box"/>
        <c:axId val="224073728"/>
        <c:axId val="224075392"/>
        <c:axId val="0"/>
      </c:bar3DChart>
      <c:catAx>
        <c:axId val="224073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24075392"/>
        <c:crosses val="autoZero"/>
        <c:auto val="1"/>
        <c:lblAlgn val="ctr"/>
        <c:lblOffset val="100"/>
        <c:noMultiLvlLbl val="0"/>
      </c:catAx>
      <c:valAx>
        <c:axId val="22407539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4073728"/>
        <c:crosses val="autoZero"/>
        <c:crossBetween val="between"/>
      </c:valAx>
      <c:spPr>
        <a:noFill/>
        <a:ln>
          <a:noFill/>
        </a:ln>
        <a:effectLst/>
      </c:spPr>
    </c:plotArea>
    <c:legend>
      <c:legendPos val="t"/>
      <c:layout>
        <c:manualLayout>
          <c:xMode val="edge"/>
          <c:yMode val="edge"/>
          <c:x val="0.65339401652250817"/>
          <c:y val="2.8079663290292635E-2"/>
          <c:w val="0.3372041760750964"/>
          <c:h val="0.2963647941062687"/>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 WEEK_3.xlsx]Pivot!PivotTable18</c:name>
    <c:fmtId val="6"/>
  </c:pivotSource>
  <c:chart>
    <c:title>
      <c:tx>
        <c:rich>
          <a:bodyPr rot="0" spcFirstLastPara="1" vertOverflow="ellipsis" vert="horz" wrap="square" anchor="ctr" anchorCtr="1"/>
          <a:lstStyle/>
          <a:p>
            <a:pPr algn="l">
              <a:defRPr sz="1600" b="1" i="0" u="none" strike="noStrike" kern="1200" cap="all" spc="50" baseline="0">
                <a:solidFill>
                  <a:schemeClr val="tx1"/>
                </a:solidFill>
                <a:latin typeface="+mn-lt"/>
                <a:ea typeface="+mn-ea"/>
                <a:cs typeface="+mn-cs"/>
              </a:defRPr>
            </a:pPr>
            <a:r>
              <a:rPr lang="en-US" sz="1600">
                <a:solidFill>
                  <a:schemeClr val="tx1"/>
                </a:solidFill>
              </a:rPr>
              <a:t>Sales Amount By Product</a:t>
            </a:r>
            <a:r>
              <a:rPr lang="en-US" sz="1600" baseline="0">
                <a:solidFill>
                  <a:schemeClr val="tx1"/>
                </a:solidFill>
              </a:rPr>
              <a:t> </a:t>
            </a:r>
            <a:r>
              <a:rPr lang="en-US" sz="1600">
                <a:solidFill>
                  <a:schemeClr val="tx1"/>
                </a:solidFill>
              </a:rPr>
              <a:t>Name</a:t>
            </a:r>
            <a:endParaRPr lang="en-GB" sz="1600">
              <a:solidFill>
                <a:schemeClr val="tx1"/>
              </a:solidFill>
            </a:endParaRPr>
          </a:p>
        </c:rich>
      </c:tx>
      <c:layout>
        <c:manualLayout>
          <c:xMode val="edge"/>
          <c:yMode val="edge"/>
          <c:x val="4.5234577607651871E-2"/>
          <c:y val="4.1106725764328181E-2"/>
        </c:manualLayout>
      </c:layout>
      <c:overlay val="0"/>
      <c:spPr>
        <a:noFill/>
        <a:ln>
          <a:noFill/>
        </a:ln>
        <a:effectLst/>
      </c:spPr>
      <c:txPr>
        <a:bodyPr rot="0" spcFirstLastPara="1" vertOverflow="ellipsis" vert="horz" wrap="square" anchor="ctr" anchorCtr="1"/>
        <a:lstStyle/>
        <a:p>
          <a:pPr algn="l">
            <a:defRPr sz="16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3.1678272471556278E-3"/>
              <c:y val="-0.2605834646577238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3"/>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s>
    <c:plotArea>
      <c:layout>
        <c:manualLayout>
          <c:layoutTarget val="inner"/>
          <c:xMode val="edge"/>
          <c:yMode val="edge"/>
          <c:x val="0.34403736706280019"/>
          <c:y val="0.25812329980917259"/>
          <c:w val="0.54184262871386102"/>
          <c:h val="0.58416029182180851"/>
        </c:manualLayout>
      </c:layout>
      <c:barChart>
        <c:barDir val="col"/>
        <c:grouping val="stacked"/>
        <c:varyColors val="0"/>
        <c:ser>
          <c:idx val="0"/>
          <c:order val="0"/>
          <c:tx>
            <c:strRef>
              <c:f>Pivot!$G$57</c:f>
              <c:strCache>
                <c:ptCount val="1"/>
                <c:pt idx="0">
                  <c:v>Total</c:v>
                </c:pt>
              </c:strCache>
            </c:strRef>
          </c:tx>
          <c:spPr>
            <a:solidFill>
              <a:schemeClr val="accent6"/>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extLst>
              <c:ext xmlns:c16="http://schemas.microsoft.com/office/drawing/2014/chart" uri="{C3380CC4-5D6E-409C-BE32-E72D297353CC}">
                <c16:uniqueId val="{00000001-582A-4B82-97D6-4282D6633ABC}"/>
              </c:ext>
            </c:extLst>
          </c:dPt>
          <c:cat>
            <c:strRef>
              <c:f>Pivot!$F$58:$F$59</c:f>
              <c:strCache>
                <c:ptCount val="1"/>
                <c:pt idx="0">
                  <c:v>Smartphone</c:v>
                </c:pt>
              </c:strCache>
            </c:strRef>
          </c:cat>
          <c:val>
            <c:numRef>
              <c:f>Pivot!$G$58:$G$59</c:f>
              <c:numCache>
                <c:formatCode>General</c:formatCode>
                <c:ptCount val="1"/>
                <c:pt idx="0">
                  <c:v>9644</c:v>
                </c:pt>
              </c:numCache>
            </c:numRef>
          </c:val>
          <c:extLst>
            <c:ext xmlns:c16="http://schemas.microsoft.com/office/drawing/2014/chart" uri="{C3380CC4-5D6E-409C-BE32-E72D297353CC}">
              <c16:uniqueId val="{00000002-582A-4B82-97D6-4282D6633ABC}"/>
            </c:ext>
          </c:extLst>
        </c:ser>
        <c:dLbls>
          <c:showLegendKey val="0"/>
          <c:showVal val="0"/>
          <c:showCatName val="0"/>
          <c:showSerName val="0"/>
          <c:showPercent val="0"/>
          <c:showBubbleSize val="0"/>
        </c:dLbls>
        <c:gapWidth val="100"/>
        <c:overlap val="100"/>
        <c:axId val="1287980591"/>
        <c:axId val="1287997647"/>
      </c:barChart>
      <c:catAx>
        <c:axId val="12879805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287997647"/>
        <c:crosses val="autoZero"/>
        <c:auto val="1"/>
        <c:lblAlgn val="ctr"/>
        <c:lblOffset val="100"/>
        <c:noMultiLvlLbl val="0"/>
      </c:catAx>
      <c:valAx>
        <c:axId val="128799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7980591"/>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 WEEK_3.xlsx]Pivot!PivotTable22</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a:solidFill>
                  <a:schemeClr val="tx1"/>
                </a:solidFill>
              </a:rPr>
              <a:t>DELIVERY PERFORMANCE BY ORDER ID</a:t>
            </a:r>
          </a:p>
        </c:rich>
      </c:tx>
      <c:layout>
        <c:manualLayout>
          <c:xMode val="edge"/>
          <c:yMode val="edge"/>
          <c:x val="0.32592348852447434"/>
          <c:y val="0.104490721464792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1"/>
          <c:showBubbleSize val="0"/>
          <c:extLst>
            <c:ext xmlns:c15="http://schemas.microsoft.com/office/drawing/2012/chart" uri="{CE6537A1-D6FC-4f65-9D91-7224C49458BB}"/>
          </c:extLst>
        </c:dLbl>
      </c:pivotFmt>
      <c:pivotFmt>
        <c:idx val="17"/>
        <c:dLbl>
          <c:idx val="0"/>
          <c:layout>
            <c:manualLayout>
              <c:x val="0.12407399975074289"/>
              <c:y val="0.10032558416941278"/>
            </c:manualLayout>
          </c:layout>
          <c:showLegendKey val="0"/>
          <c:showVal val="1"/>
          <c:showCatName val="0"/>
          <c:showSerName val="0"/>
          <c:showPercent val="1"/>
          <c:showBubbleSize val="0"/>
          <c:extLst>
            <c:ext xmlns:c15="http://schemas.microsoft.com/office/drawing/2012/chart" uri="{CE6537A1-D6FC-4f65-9D91-7224C49458BB}"/>
          </c:extLst>
        </c:dLbl>
      </c:pivotFmt>
      <c:pivotFmt>
        <c:idx val="18"/>
        <c:dLbl>
          <c:idx val="0"/>
          <c:layout>
            <c:manualLayout>
              <c:x val="-0.13078070243997239"/>
              <c:y val="-0.12039070100329538"/>
            </c:manualLayout>
          </c:layout>
          <c:showLegendKey val="0"/>
          <c:showVal val="1"/>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Lbl>
          <c:idx val="0"/>
          <c:layout>
            <c:manualLayout>
              <c:x val="-0.13694091165895966"/>
              <c:y val="5.45801411894876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9.6999812425096393E-2"/>
              <c:y val="9.923662034452297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018627198810304"/>
          <c:y val="0.29000886487762056"/>
          <c:w val="0.76894680622838529"/>
          <c:h val="0.52541961657939185"/>
        </c:manualLayout>
      </c:layout>
      <c:doughnutChart>
        <c:varyColors val="1"/>
        <c:ser>
          <c:idx val="0"/>
          <c:order val="0"/>
          <c:tx>
            <c:strRef>
              <c:f>Pivot!$E$96</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0-0D8D-45B0-A024-E36FFAF437B8}"/>
              </c:ext>
            </c:extLst>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175A-47BA-A23D-B2BF174CAB09}"/>
              </c:ext>
            </c:extLst>
          </c:dPt>
          <c:dLbls>
            <c:dLbl>
              <c:idx val="0"/>
              <c:layout>
                <c:manualLayout>
                  <c:x val="9.6999812425096393E-2"/>
                  <c:y val="9.923662034452297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D8D-45B0-A024-E36FFAF437B8}"/>
                </c:ext>
              </c:extLst>
            </c:dLbl>
            <c:dLbl>
              <c:idx val="1"/>
              <c:layout>
                <c:manualLayout>
                  <c:x val="-0.13694091165895966"/>
                  <c:y val="5.45801411894876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75A-47BA-A23D-B2BF174CAB0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Pivot!$D$97:$D$99</c:f>
              <c:strCache>
                <c:ptCount val="2"/>
                <c:pt idx="0">
                  <c:v>Fast</c:v>
                </c:pt>
                <c:pt idx="1">
                  <c:v>Slow</c:v>
                </c:pt>
              </c:strCache>
            </c:strRef>
          </c:cat>
          <c:val>
            <c:numRef>
              <c:f>Pivot!$E$97:$E$99</c:f>
              <c:numCache>
                <c:formatCode>General</c:formatCode>
                <c:ptCount val="2"/>
                <c:pt idx="0">
                  <c:v>77</c:v>
                </c:pt>
                <c:pt idx="1">
                  <c:v>23</c:v>
                </c:pt>
              </c:numCache>
            </c:numRef>
          </c:val>
          <c:extLst>
            <c:ext xmlns:c16="http://schemas.microsoft.com/office/drawing/2014/chart" uri="{C3380CC4-5D6E-409C-BE32-E72D297353CC}">
              <c16:uniqueId val="{00000004-9772-448A-B520-CE4D6FE2D22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 WEEK_3.xlsx]Pivot!PivotTable19</c:name>
    <c:fmtId val="6"/>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a:solidFill>
                  <a:schemeClr val="tx1"/>
                </a:solidFill>
              </a:rPr>
              <a:t>Sales</a:t>
            </a:r>
            <a:r>
              <a:rPr lang="en-US" baseline="0">
                <a:solidFill>
                  <a:schemeClr val="tx1"/>
                </a:solidFill>
              </a:rPr>
              <a:t> Amount by region</a:t>
            </a:r>
            <a:endParaRPr lang="en-US">
              <a:solidFill>
                <a:schemeClr val="tx1"/>
              </a:solidFill>
            </a:endParaRPr>
          </a:p>
        </c:rich>
      </c:tx>
      <c:layout>
        <c:manualLayout>
          <c:xMode val="edge"/>
          <c:yMode val="edge"/>
          <c:x val="4.3551286490619991E-2"/>
          <c:y val="4.208634881593021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1045506890680259E-2"/>
          <c:y val="0.22458976856190246"/>
          <c:w val="0.9379089862186395"/>
          <c:h val="0.6296213517339907"/>
        </c:manualLayout>
      </c:layout>
      <c:barChart>
        <c:barDir val="col"/>
        <c:grouping val="clustered"/>
        <c:varyColors val="0"/>
        <c:ser>
          <c:idx val="0"/>
          <c:order val="0"/>
          <c:tx>
            <c:strRef>
              <c:f>Pivot!$B$70</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Pivot!$A$71:$A$76</c:f>
              <c:strCache>
                <c:ptCount val="5"/>
                <c:pt idx="0">
                  <c:v>Central</c:v>
                </c:pt>
                <c:pt idx="1">
                  <c:v>East</c:v>
                </c:pt>
                <c:pt idx="2">
                  <c:v>North</c:v>
                </c:pt>
                <c:pt idx="3">
                  <c:v>South</c:v>
                </c:pt>
                <c:pt idx="4">
                  <c:v>West</c:v>
                </c:pt>
              </c:strCache>
            </c:strRef>
          </c:cat>
          <c:val>
            <c:numRef>
              <c:f>Pivot!$B$71:$B$76</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766E-4843-B174-E8E85C44F0A8}"/>
            </c:ext>
          </c:extLst>
        </c:ser>
        <c:dLbls>
          <c:dLblPos val="outEnd"/>
          <c:showLegendKey val="0"/>
          <c:showVal val="1"/>
          <c:showCatName val="0"/>
          <c:showSerName val="0"/>
          <c:showPercent val="0"/>
          <c:showBubbleSize val="0"/>
        </c:dLbls>
        <c:gapWidth val="355"/>
        <c:overlap val="-70"/>
        <c:axId val="2070235920"/>
        <c:axId val="2070236752"/>
      </c:barChart>
      <c:catAx>
        <c:axId val="207023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70236752"/>
        <c:crosses val="autoZero"/>
        <c:auto val="1"/>
        <c:lblAlgn val="ctr"/>
        <c:lblOffset val="100"/>
        <c:noMultiLvlLbl val="0"/>
      </c:catAx>
      <c:valAx>
        <c:axId val="2070236752"/>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crossAx val="2070235920"/>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 PROJECT WEEK_3.xlsx]Pivot!PivotTable21</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FELTER SALES BY MONTH</a:t>
            </a:r>
          </a:p>
        </c:rich>
      </c:tx>
      <c:layout>
        <c:manualLayout>
          <c:xMode val="edge"/>
          <c:yMode val="edge"/>
          <c:x val="0.29417344706911636"/>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Pivot!$D$87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AF58-445D-B9DF-0C11E8DF1474}"/>
              </c:ext>
            </c:extLst>
          </c:dPt>
          <c:dLbls>
            <c:dLbl>
              <c:idx val="0"/>
              <c:layout>
                <c:manualLayout>
                  <c:x val="8.3333333333333329E-2"/>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F58-445D-B9DF-0C11E8DF14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Pivot!$D$88</c:f>
              <c:strCache>
                <c:ptCount val="1"/>
                <c:pt idx="0">
                  <c:v>Total</c:v>
                </c:pt>
              </c:strCache>
            </c:strRef>
          </c:cat>
          <c:val>
            <c:numRef>
              <c:f>Pivot!$D$88</c:f>
              <c:numCache>
                <c:formatCode>General</c:formatCode>
                <c:ptCount val="1"/>
                <c:pt idx="0">
                  <c:v>35258</c:v>
                </c:pt>
              </c:numCache>
            </c:numRef>
          </c:val>
          <c:extLst>
            <c:ext xmlns:c16="http://schemas.microsoft.com/office/drawing/2014/chart" uri="{C3380CC4-5D6E-409C-BE32-E72D297353CC}">
              <c16:uniqueId val="{00000001-AF58-445D-B9DF-0C11E8DF1474}"/>
            </c:ext>
          </c:extLst>
        </c:ser>
        <c:dLbls>
          <c:showLegendKey val="0"/>
          <c:showVal val="1"/>
          <c:showCatName val="0"/>
          <c:showSerName val="0"/>
          <c:showPercent val="0"/>
          <c:showBubbleSize val="0"/>
        </c:dLbls>
        <c:gapWidth val="150"/>
        <c:shape val="box"/>
        <c:axId val="838546080"/>
        <c:axId val="838536512"/>
        <c:axId val="727193312"/>
      </c:bar3DChart>
      <c:catAx>
        <c:axId val="838546080"/>
        <c:scaling>
          <c:orientation val="minMax"/>
        </c:scaling>
        <c:delete val="1"/>
        <c:axPos val="b"/>
        <c:numFmt formatCode="General" sourceLinked="1"/>
        <c:majorTickMark val="none"/>
        <c:minorTickMark val="none"/>
        <c:tickLblPos val="nextTo"/>
        <c:crossAx val="838536512"/>
        <c:crosses val="autoZero"/>
        <c:auto val="1"/>
        <c:lblAlgn val="ctr"/>
        <c:lblOffset val="100"/>
        <c:noMultiLvlLbl val="0"/>
      </c:catAx>
      <c:valAx>
        <c:axId val="83853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8546080"/>
        <c:crosses val="autoZero"/>
        <c:crossBetween val="between"/>
      </c:valAx>
      <c:serAx>
        <c:axId val="727193312"/>
        <c:scaling>
          <c:orientation val="minMax"/>
        </c:scaling>
        <c:delete val="1"/>
        <c:axPos val="b"/>
        <c:majorTickMark val="none"/>
        <c:minorTickMark val="none"/>
        <c:tickLblPos val="nextTo"/>
        <c:crossAx val="838536512"/>
        <c:crosses val="autoZero"/>
      </c:serAx>
      <c:spPr>
        <a:noFill/>
        <a:ln w="25400">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534113</xdr:colOff>
      <xdr:row>0</xdr:row>
      <xdr:rowOff>71276</xdr:rowOff>
    </xdr:from>
    <xdr:to>
      <xdr:col>28</xdr:col>
      <xdr:colOff>377776</xdr:colOff>
      <xdr:row>4</xdr:row>
      <xdr:rowOff>36936</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377661" y="71276"/>
          <a:ext cx="15206567" cy="70307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xdr:colOff>
      <xdr:row>0</xdr:row>
      <xdr:rowOff>118123</xdr:rowOff>
    </xdr:from>
    <xdr:to>
      <xdr:col>28</xdr:col>
      <xdr:colOff>307258</xdr:colOff>
      <xdr:row>4</xdr:row>
      <xdr:rowOff>2711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458064" y="118123"/>
          <a:ext cx="15055646" cy="62200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800" b="1" u="sng" cap="none" spc="0">
              <a:ln w="0"/>
              <a:solidFill>
                <a:schemeClr val="tx1"/>
              </a:solidFill>
              <a:effectLst>
                <a:outerShdw blurRad="50800" dist="38100" algn="l" rotWithShape="0">
                  <a:prstClr val="black">
                    <a:alpha val="40000"/>
                  </a:prstClr>
                </a:outerShdw>
              </a:effectLst>
              <a:latin typeface="Aparajita" panose="02020603050405020304" pitchFamily="18" charset="0"/>
              <a:cs typeface="Aparajita" panose="02020603050405020304" pitchFamily="18" charset="0"/>
            </a:rPr>
            <a:t>D</a:t>
          </a:r>
          <a:r>
            <a:rPr lang="en-GB" sz="5400" b="1" u="sng" cap="none" spc="0">
              <a:ln w="0"/>
              <a:solidFill>
                <a:schemeClr val="tx1"/>
              </a:solidFill>
              <a:effectLst>
                <a:outerShdw blurRad="50800" dist="38100" algn="l" rotWithShape="0">
                  <a:prstClr val="black">
                    <a:alpha val="40000"/>
                  </a:prstClr>
                </a:outerShdw>
              </a:effectLst>
              <a:latin typeface="Aparajita" panose="02020603050405020304" pitchFamily="18" charset="0"/>
              <a:cs typeface="Aparajita" panose="02020603050405020304" pitchFamily="18" charset="0"/>
            </a:rPr>
            <a:t>ashboard For</a:t>
          </a:r>
          <a:r>
            <a:rPr lang="en-GB" sz="5400" b="1" u="sng" cap="none" spc="0" baseline="0">
              <a:ln w="0"/>
              <a:solidFill>
                <a:schemeClr val="tx1"/>
              </a:solidFill>
              <a:effectLst>
                <a:outerShdw blurRad="50800" dist="38100" algn="l" rotWithShape="0">
                  <a:prstClr val="black">
                    <a:alpha val="40000"/>
                  </a:prstClr>
                </a:outerShdw>
              </a:effectLst>
              <a:latin typeface="Aparajita" panose="02020603050405020304" pitchFamily="18" charset="0"/>
              <a:cs typeface="Aparajita" panose="02020603050405020304" pitchFamily="18" charset="0"/>
            </a:rPr>
            <a:t> Amazon Sales </a:t>
          </a:r>
          <a:endParaRPr lang="en-GB" sz="2800" b="1" u="sng">
            <a:solidFill>
              <a:sysClr val="windowText" lastClr="000000"/>
            </a:solidFill>
            <a:effectLst>
              <a:outerShdw blurRad="50800" dist="38100" algn="l" rotWithShape="0">
                <a:prstClr val="black">
                  <a:alpha val="40000"/>
                </a:prstClr>
              </a:outerShdw>
            </a:effectLst>
            <a:latin typeface="Aparajita" panose="02020603050405020304" pitchFamily="18" charset="0"/>
            <a:cs typeface="Aparajita" panose="02020603050405020304" pitchFamily="18" charset="0"/>
          </a:endParaRPr>
        </a:p>
      </xdr:txBody>
    </xdr:sp>
    <xdr:clientData/>
  </xdr:twoCellAnchor>
  <xdr:twoCellAnchor editAs="oneCell">
    <xdr:from>
      <xdr:col>4</xdr:col>
      <xdr:colOff>303857</xdr:colOff>
      <xdr:row>0</xdr:row>
      <xdr:rowOff>177529</xdr:rowOff>
    </xdr:from>
    <xdr:to>
      <xdr:col>7</xdr:col>
      <xdr:colOff>56946</xdr:colOff>
      <xdr:row>4</xdr:row>
      <xdr:rowOff>64862</xdr:rowOff>
    </xdr:to>
    <xdr:pic>
      <xdr:nvPicPr>
        <xdr:cNvPr id="4" name="Picture 3">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2724795" y="177529"/>
          <a:ext cx="1568792" cy="641396"/>
        </a:xfrm>
        <a:prstGeom prst="rect">
          <a:avLst/>
        </a:prstGeom>
        <a:ln>
          <a:noFill/>
        </a:ln>
        <a:effectLst>
          <a:softEdge rad="112500"/>
        </a:effectLst>
      </xdr:spPr>
    </xdr:pic>
    <xdr:clientData/>
  </xdr:twoCellAnchor>
  <xdr:twoCellAnchor>
    <xdr:from>
      <xdr:col>0</xdr:col>
      <xdr:colOff>86392</xdr:colOff>
      <xdr:row>0</xdr:row>
      <xdr:rowOff>65328</xdr:rowOff>
    </xdr:from>
    <xdr:to>
      <xdr:col>3</xdr:col>
      <xdr:colOff>471103</xdr:colOff>
      <xdr:row>10</xdr:row>
      <xdr:rowOff>42333</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86392" y="65328"/>
          <a:ext cx="2226211" cy="1776172"/>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132856</xdr:colOff>
      <xdr:row>0</xdr:row>
      <xdr:rowOff>97080</xdr:rowOff>
    </xdr:from>
    <xdr:to>
      <xdr:col>3</xdr:col>
      <xdr:colOff>419380</xdr:colOff>
      <xdr:row>9</xdr:row>
      <xdr:rowOff>154281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856" y="97080"/>
              <a:ext cx="2128024" cy="16764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84328</xdr:colOff>
      <xdr:row>10</xdr:row>
      <xdr:rowOff>92612</xdr:rowOff>
    </xdr:from>
    <xdr:to>
      <xdr:col>3</xdr:col>
      <xdr:colOff>502499</xdr:colOff>
      <xdr:row>18</xdr:row>
      <xdr:rowOff>90530</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84328" y="1891779"/>
          <a:ext cx="2259671" cy="1437251"/>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136356</xdr:colOff>
      <xdr:row>10</xdr:row>
      <xdr:rowOff>112193</xdr:rowOff>
    </xdr:from>
    <xdr:to>
      <xdr:col>3</xdr:col>
      <xdr:colOff>453856</xdr:colOff>
      <xdr:row>18</xdr:row>
      <xdr:rowOff>21165</xdr:rowOff>
    </xdr:to>
    <mc:AlternateContent xmlns:mc="http://schemas.openxmlformats.org/markup-compatibility/2006">
      <mc:Choice xmlns:a14="http://schemas.microsoft.com/office/drawing/2010/main" Requires="a14">
        <xdr:graphicFrame macro="">
          <xdr:nvGraphicFramePr>
            <xdr:cNvPr id="8" name="Delivery Status">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36356" y="1911360"/>
              <a:ext cx="2159000" cy="13483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102809</xdr:colOff>
      <xdr:row>18</xdr:row>
      <xdr:rowOff>139154</xdr:rowOff>
    </xdr:from>
    <xdr:to>
      <xdr:col>3</xdr:col>
      <xdr:colOff>504885</xdr:colOff>
      <xdr:row>28</xdr:row>
      <xdr:rowOff>95250</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102809" y="3377654"/>
          <a:ext cx="2243576" cy="175526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165536</xdr:colOff>
      <xdr:row>19</xdr:row>
      <xdr:rowOff>49937</xdr:rowOff>
    </xdr:from>
    <xdr:to>
      <xdr:col>3</xdr:col>
      <xdr:colOff>443386</xdr:colOff>
      <xdr:row>28</xdr:row>
      <xdr:rowOff>48595</xdr:rowOff>
    </xdr:to>
    <mc:AlternateContent xmlns:mc="http://schemas.openxmlformats.org/markup-compatibility/2006">
      <mc:Choice xmlns:a14="http://schemas.microsoft.com/office/drawing/2010/main" Requires="a14">
        <xdr:graphicFrame macro="">
          <xdr:nvGraphicFramePr>
            <xdr:cNvPr id="10" name="Payment Method">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65536" y="3468354"/>
              <a:ext cx="2119350" cy="16179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86042</xdr:colOff>
      <xdr:row>28</xdr:row>
      <xdr:rowOff>151542</xdr:rowOff>
    </xdr:from>
    <xdr:to>
      <xdr:col>3</xdr:col>
      <xdr:colOff>508000</xdr:colOff>
      <xdr:row>37</xdr:row>
      <xdr:rowOff>95249</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86042" y="5189209"/>
          <a:ext cx="2263458" cy="156295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189515</xdr:colOff>
      <xdr:row>28</xdr:row>
      <xdr:rowOff>169333</xdr:rowOff>
    </xdr:from>
    <xdr:to>
      <xdr:col>3</xdr:col>
      <xdr:colOff>478667</xdr:colOff>
      <xdr:row>36</xdr:row>
      <xdr:rowOff>169333</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9515" y="5207000"/>
              <a:ext cx="2130652" cy="14393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572643</xdr:colOff>
      <xdr:row>20</xdr:row>
      <xdr:rowOff>52917</xdr:rowOff>
    </xdr:from>
    <xdr:to>
      <xdr:col>15</xdr:col>
      <xdr:colOff>256731</xdr:colOff>
      <xdr:row>37</xdr:row>
      <xdr:rowOff>84667</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2414143" y="3651250"/>
          <a:ext cx="7050088" cy="309033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8507</xdr:colOff>
      <xdr:row>20</xdr:row>
      <xdr:rowOff>169334</xdr:rowOff>
    </xdr:from>
    <xdr:to>
      <xdr:col>15</xdr:col>
      <xdr:colOff>184355</xdr:colOff>
      <xdr:row>36</xdr:row>
      <xdr:rowOff>169332</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537309</xdr:colOff>
      <xdr:row>4</xdr:row>
      <xdr:rowOff>87921</xdr:rowOff>
    </xdr:from>
    <xdr:to>
      <xdr:col>12</xdr:col>
      <xdr:colOff>488462</xdr:colOff>
      <xdr:row>19</xdr:row>
      <xdr:rowOff>173370</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2378809" y="807588"/>
          <a:ext cx="5475653" cy="278419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595924</xdr:colOff>
      <xdr:row>4</xdr:row>
      <xdr:rowOff>136768</xdr:rowOff>
    </xdr:from>
    <xdr:to>
      <xdr:col>12</xdr:col>
      <xdr:colOff>429847</xdr:colOff>
      <xdr:row>19</xdr:row>
      <xdr:rowOff>95250</xdr:rowOff>
    </xdr:to>
    <xdr:graphicFrame macro="">
      <xdr:nvGraphicFramePr>
        <xdr:cNvPr id="22" name="Chart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566617</xdr:colOff>
      <xdr:row>4</xdr:row>
      <xdr:rowOff>97692</xdr:rowOff>
    </xdr:from>
    <xdr:to>
      <xdr:col>20</xdr:col>
      <xdr:colOff>604274</xdr:colOff>
      <xdr:row>20</xdr:row>
      <xdr:rowOff>10584</xdr:rowOff>
    </xdr:to>
    <xdr:sp macro="" textlink="">
      <xdr:nvSpPr>
        <xdr:cNvPr id="23" name="Rectangle 22">
          <a:extLst>
            <a:ext uri="{FF2B5EF4-FFF2-40B4-BE49-F238E27FC236}">
              <a16:creationId xmlns:a16="http://schemas.microsoft.com/office/drawing/2014/main" id="{00000000-0008-0000-0100-000017000000}"/>
            </a:ext>
          </a:extLst>
        </xdr:cNvPr>
        <xdr:cNvSpPr/>
      </xdr:nvSpPr>
      <xdr:spPr>
        <a:xfrm>
          <a:off x="7932617" y="817359"/>
          <a:ext cx="4948324" cy="279155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9770</xdr:colOff>
      <xdr:row>4</xdr:row>
      <xdr:rowOff>166076</xdr:rowOff>
    </xdr:from>
    <xdr:to>
      <xdr:col>20</xdr:col>
      <xdr:colOff>542822</xdr:colOff>
      <xdr:row>19</xdr:row>
      <xdr:rowOff>126219</xdr:rowOff>
    </xdr:to>
    <xdr:graphicFrame macro="">
      <xdr:nvGraphicFramePr>
        <xdr:cNvPr id="24" name="Chart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61450</xdr:colOff>
      <xdr:row>4</xdr:row>
      <xdr:rowOff>97692</xdr:rowOff>
    </xdr:from>
    <xdr:to>
      <xdr:col>28</xdr:col>
      <xdr:colOff>389192</xdr:colOff>
      <xdr:row>19</xdr:row>
      <xdr:rowOff>127000</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12951950" y="817359"/>
          <a:ext cx="4624575" cy="272805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143387</xdr:colOff>
      <xdr:row>4</xdr:row>
      <xdr:rowOff>166381</xdr:rowOff>
    </xdr:from>
    <xdr:to>
      <xdr:col>28</xdr:col>
      <xdr:colOff>327742</xdr:colOff>
      <xdr:row>19</xdr:row>
      <xdr:rowOff>87268</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307940</xdr:colOff>
      <xdr:row>20</xdr:row>
      <xdr:rowOff>39890</xdr:rowOff>
    </xdr:from>
    <xdr:to>
      <xdr:col>22</xdr:col>
      <xdr:colOff>348908</xdr:colOff>
      <xdr:row>37</xdr:row>
      <xdr:rowOff>62753</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9515440" y="3638223"/>
          <a:ext cx="4337801" cy="308144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379636</xdr:colOff>
      <xdr:row>20</xdr:row>
      <xdr:rowOff>102580</xdr:rowOff>
    </xdr:from>
    <xdr:to>
      <xdr:col>22</xdr:col>
      <xdr:colOff>287457</xdr:colOff>
      <xdr:row>36</xdr:row>
      <xdr:rowOff>169333</xdr:rowOff>
    </xdr:to>
    <xdr:graphicFrame macro="">
      <xdr:nvGraphicFramePr>
        <xdr:cNvPr id="28" name="Chart 27">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421317</xdr:colOff>
      <xdr:row>0</xdr:row>
      <xdr:rowOff>110101</xdr:rowOff>
    </xdr:from>
    <xdr:to>
      <xdr:col>32</xdr:col>
      <xdr:colOff>116890</xdr:colOff>
      <xdr:row>11</xdr:row>
      <xdr:rowOff>137316</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7608650" y="110101"/>
          <a:ext cx="2150907" cy="200629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431087</xdr:colOff>
      <xdr:row>8</xdr:row>
      <xdr:rowOff>29186</xdr:rowOff>
    </xdr:from>
    <xdr:to>
      <xdr:col>32</xdr:col>
      <xdr:colOff>126660</xdr:colOff>
      <xdr:row>19</xdr:row>
      <xdr:rowOff>38507</xdr:rowOff>
    </xdr:to>
    <xdr:sp macro="" textlink="">
      <xdr:nvSpPr>
        <xdr:cNvPr id="30" name="Rectangle 29">
          <a:extLst>
            <a:ext uri="{FF2B5EF4-FFF2-40B4-BE49-F238E27FC236}">
              <a16:creationId xmlns:a16="http://schemas.microsoft.com/office/drawing/2014/main" id="{00000000-0008-0000-0100-00001E000000}"/>
            </a:ext>
          </a:extLst>
        </xdr:cNvPr>
        <xdr:cNvSpPr/>
      </xdr:nvSpPr>
      <xdr:spPr>
        <a:xfrm>
          <a:off x="17618420" y="1468519"/>
          <a:ext cx="2150907" cy="198840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420843</xdr:colOff>
      <xdr:row>15</xdr:row>
      <xdr:rowOff>155176</xdr:rowOff>
    </xdr:from>
    <xdr:to>
      <xdr:col>32</xdr:col>
      <xdr:colOff>116416</xdr:colOff>
      <xdr:row>27</xdr:row>
      <xdr:rowOff>29947</xdr:rowOff>
    </xdr:to>
    <xdr:sp macro="" textlink="">
      <xdr:nvSpPr>
        <xdr:cNvPr id="31" name="Rectangle 30">
          <a:extLst>
            <a:ext uri="{FF2B5EF4-FFF2-40B4-BE49-F238E27FC236}">
              <a16:creationId xmlns:a16="http://schemas.microsoft.com/office/drawing/2014/main" id="{00000000-0008-0000-0100-00001F000000}"/>
            </a:ext>
          </a:extLst>
        </xdr:cNvPr>
        <xdr:cNvSpPr/>
      </xdr:nvSpPr>
      <xdr:spPr>
        <a:xfrm>
          <a:off x="17608176" y="2853926"/>
          <a:ext cx="2150907" cy="2033771"/>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421317</xdr:colOff>
      <xdr:row>23</xdr:row>
      <xdr:rowOff>26032</xdr:rowOff>
    </xdr:from>
    <xdr:to>
      <xdr:col>32</xdr:col>
      <xdr:colOff>129998</xdr:colOff>
      <xdr:row>37</xdr:row>
      <xdr:rowOff>21166</xdr:rowOff>
    </xdr:to>
    <xdr:sp macro="" textlink="">
      <xdr:nvSpPr>
        <xdr:cNvPr id="32" name="Rectangle 31">
          <a:extLst>
            <a:ext uri="{FF2B5EF4-FFF2-40B4-BE49-F238E27FC236}">
              <a16:creationId xmlns:a16="http://schemas.microsoft.com/office/drawing/2014/main" id="{00000000-0008-0000-0100-000020000000}"/>
            </a:ext>
          </a:extLst>
        </xdr:cNvPr>
        <xdr:cNvSpPr/>
      </xdr:nvSpPr>
      <xdr:spPr>
        <a:xfrm>
          <a:off x="17608650" y="4164115"/>
          <a:ext cx="2164015" cy="251396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457201</xdr:colOff>
      <xdr:row>0</xdr:row>
      <xdr:rowOff>139700</xdr:rowOff>
    </xdr:from>
    <xdr:to>
      <xdr:col>32</xdr:col>
      <xdr:colOff>87307</xdr:colOff>
      <xdr:row>5</xdr:row>
      <xdr:rowOff>43706</xdr:rowOff>
    </xdr:to>
    <xdr:sp macro="" textlink="">
      <xdr:nvSpPr>
        <xdr:cNvPr id="33" name="Rectangle 32">
          <a:extLst>
            <a:ext uri="{FF2B5EF4-FFF2-40B4-BE49-F238E27FC236}">
              <a16:creationId xmlns:a16="http://schemas.microsoft.com/office/drawing/2014/main" id="{00000000-0008-0000-0100-000021000000}"/>
            </a:ext>
          </a:extLst>
        </xdr:cNvPr>
        <xdr:cNvSpPr/>
      </xdr:nvSpPr>
      <xdr:spPr>
        <a:xfrm>
          <a:off x="17644534" y="139700"/>
          <a:ext cx="2085440" cy="80358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tx1"/>
              </a:solidFill>
            </a:rPr>
            <a:t>Total</a:t>
          </a:r>
          <a:r>
            <a:rPr lang="en-GB" sz="2000" b="1" baseline="0">
              <a:solidFill>
                <a:schemeClr val="tx1"/>
              </a:solidFill>
            </a:rPr>
            <a:t> Revenue</a:t>
          </a:r>
          <a:endParaRPr lang="en-GB" sz="2000" b="1">
            <a:solidFill>
              <a:schemeClr val="tx1"/>
            </a:solidFill>
          </a:endParaRPr>
        </a:p>
      </xdr:txBody>
    </xdr:sp>
    <xdr:clientData/>
  </xdr:twoCellAnchor>
  <xdr:twoCellAnchor>
    <xdr:from>
      <xdr:col>28</xdr:col>
      <xdr:colOff>452204</xdr:colOff>
      <xdr:row>5</xdr:row>
      <xdr:rowOff>74083</xdr:rowOff>
    </xdr:from>
    <xdr:to>
      <xdr:col>32</xdr:col>
      <xdr:colOff>72239</xdr:colOff>
      <xdr:row>9</xdr:row>
      <xdr:rowOff>63499</xdr:rowOff>
    </xdr:to>
    <xdr:sp macro="" textlink="Pivot!$F$40">
      <xdr:nvSpPr>
        <xdr:cNvPr id="34" name="Rectangle 33">
          <a:extLst>
            <a:ext uri="{FF2B5EF4-FFF2-40B4-BE49-F238E27FC236}">
              <a16:creationId xmlns:a16="http://schemas.microsoft.com/office/drawing/2014/main" id="{00000000-0008-0000-0100-000022000000}"/>
            </a:ext>
          </a:extLst>
        </xdr:cNvPr>
        <xdr:cNvSpPr/>
      </xdr:nvSpPr>
      <xdr:spPr>
        <a:xfrm>
          <a:off x="17639537" y="973666"/>
          <a:ext cx="2075369" cy="70908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82819A8-3497-413A-998E-5BB467FF6934}" type="TxLink">
            <a:rPr lang="hi-Latn-IN" sz="1600" b="0" i="0" u="none" strike="noStrike">
              <a:solidFill>
                <a:srgbClr val="000000"/>
              </a:solidFill>
              <a:latin typeface="Calibri"/>
              <a:ea typeface="Calibri"/>
              <a:cs typeface="Calibri"/>
            </a:rPr>
            <a:pPr algn="ctr"/>
            <a:t> 35,258 </a:t>
          </a:fld>
          <a:endParaRPr lang="en-GB" sz="1600" b="0"/>
        </a:p>
      </xdr:txBody>
    </xdr:sp>
    <xdr:clientData/>
  </xdr:twoCellAnchor>
  <xdr:twoCellAnchor>
    <xdr:from>
      <xdr:col>28</xdr:col>
      <xdr:colOff>457200</xdr:colOff>
      <xdr:row>9</xdr:row>
      <xdr:rowOff>105832</xdr:rowOff>
    </xdr:from>
    <xdr:to>
      <xdr:col>32</xdr:col>
      <xdr:colOff>117656</xdr:colOff>
      <xdr:row>13</xdr:row>
      <xdr:rowOff>102270</xdr:rowOff>
    </xdr:to>
    <xdr:sp macro="" textlink="">
      <xdr:nvSpPr>
        <xdr:cNvPr id="35" name="Rectangle 34">
          <a:extLst>
            <a:ext uri="{FF2B5EF4-FFF2-40B4-BE49-F238E27FC236}">
              <a16:creationId xmlns:a16="http://schemas.microsoft.com/office/drawing/2014/main" id="{00000000-0008-0000-0100-000023000000}"/>
            </a:ext>
          </a:extLst>
        </xdr:cNvPr>
        <xdr:cNvSpPr/>
      </xdr:nvSpPr>
      <xdr:spPr>
        <a:xfrm>
          <a:off x="17644533" y="1725082"/>
          <a:ext cx="2115790" cy="71610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tx1"/>
              </a:solidFill>
            </a:rPr>
            <a:t>% of Fast Deliveries</a:t>
          </a:r>
        </a:p>
      </xdr:txBody>
    </xdr:sp>
    <xdr:clientData/>
  </xdr:twoCellAnchor>
  <xdr:twoCellAnchor>
    <xdr:from>
      <xdr:col>28</xdr:col>
      <xdr:colOff>469900</xdr:colOff>
      <xdr:row>13</xdr:row>
      <xdr:rowOff>151112</xdr:rowOff>
    </xdr:from>
    <xdr:to>
      <xdr:col>32</xdr:col>
      <xdr:colOff>105657</xdr:colOff>
      <xdr:row>18</xdr:row>
      <xdr:rowOff>85249</xdr:rowOff>
    </xdr:to>
    <xdr:sp macro="" textlink="Pivot!$G$46">
      <xdr:nvSpPr>
        <xdr:cNvPr id="36" name="Rectangle 35">
          <a:extLst>
            <a:ext uri="{FF2B5EF4-FFF2-40B4-BE49-F238E27FC236}">
              <a16:creationId xmlns:a16="http://schemas.microsoft.com/office/drawing/2014/main" id="{00000000-0008-0000-0100-000024000000}"/>
            </a:ext>
          </a:extLst>
        </xdr:cNvPr>
        <xdr:cNvSpPr/>
      </xdr:nvSpPr>
      <xdr:spPr>
        <a:xfrm>
          <a:off x="17657233" y="2490029"/>
          <a:ext cx="2091091" cy="8337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50A1C2C-B3FA-49CA-ADE6-ABD99586C88F}" type="TxLink">
            <a:rPr lang="hi-Latn-IN" sz="1600" b="0" i="0" u="none" strike="noStrike">
              <a:solidFill>
                <a:srgbClr val="000000"/>
              </a:solidFill>
              <a:latin typeface="Calibri"/>
              <a:ea typeface="Calibri"/>
              <a:cs typeface="Calibri"/>
            </a:rPr>
            <a:pPr algn="ctr"/>
            <a:t>77%</a:t>
          </a:fld>
          <a:endParaRPr lang="en-GB" sz="2400"/>
        </a:p>
      </xdr:txBody>
    </xdr:sp>
    <xdr:clientData/>
  </xdr:twoCellAnchor>
  <xdr:twoCellAnchor>
    <xdr:from>
      <xdr:col>28</xdr:col>
      <xdr:colOff>467785</xdr:colOff>
      <xdr:row>18</xdr:row>
      <xdr:rowOff>116417</xdr:rowOff>
    </xdr:from>
    <xdr:to>
      <xdr:col>32</xdr:col>
      <xdr:colOff>97743</xdr:colOff>
      <xdr:row>22</xdr:row>
      <xdr:rowOff>135843</xdr:rowOff>
    </xdr:to>
    <xdr:sp macro="" textlink="">
      <xdr:nvSpPr>
        <xdr:cNvPr id="37" name="Rectangle 36">
          <a:extLst>
            <a:ext uri="{FF2B5EF4-FFF2-40B4-BE49-F238E27FC236}">
              <a16:creationId xmlns:a16="http://schemas.microsoft.com/office/drawing/2014/main" id="{00000000-0008-0000-0100-000025000000}"/>
            </a:ext>
          </a:extLst>
        </xdr:cNvPr>
        <xdr:cNvSpPr/>
      </xdr:nvSpPr>
      <xdr:spPr>
        <a:xfrm>
          <a:off x="17655118" y="3354917"/>
          <a:ext cx="2085292" cy="7390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tx1"/>
              </a:solidFill>
            </a:rPr>
            <a:t>Top 3 Performing</a:t>
          </a:r>
          <a:r>
            <a:rPr lang="en-GB" sz="2000" b="1" baseline="0">
              <a:solidFill>
                <a:schemeClr val="tx1"/>
              </a:solidFill>
            </a:rPr>
            <a:t> Region</a:t>
          </a:r>
          <a:endParaRPr lang="en-GB" sz="2000" b="1">
            <a:solidFill>
              <a:schemeClr val="tx1"/>
            </a:solidFill>
          </a:endParaRPr>
        </a:p>
      </xdr:txBody>
    </xdr:sp>
    <xdr:clientData/>
  </xdr:twoCellAnchor>
  <xdr:twoCellAnchor>
    <xdr:from>
      <xdr:col>28</xdr:col>
      <xdr:colOff>457200</xdr:colOff>
      <xdr:row>22</xdr:row>
      <xdr:rowOff>158750</xdr:rowOff>
    </xdr:from>
    <xdr:to>
      <xdr:col>32</xdr:col>
      <xdr:colOff>93007</xdr:colOff>
      <xdr:row>26</xdr:row>
      <xdr:rowOff>169334</xdr:rowOff>
    </xdr:to>
    <xdr:sp macro="" textlink="Pivot!$H$51">
      <xdr:nvSpPr>
        <xdr:cNvPr id="38" name="Rectangle 37">
          <a:extLst>
            <a:ext uri="{FF2B5EF4-FFF2-40B4-BE49-F238E27FC236}">
              <a16:creationId xmlns:a16="http://schemas.microsoft.com/office/drawing/2014/main" id="{00000000-0008-0000-0100-000026000000}"/>
            </a:ext>
          </a:extLst>
        </xdr:cNvPr>
        <xdr:cNvSpPr/>
      </xdr:nvSpPr>
      <xdr:spPr>
        <a:xfrm>
          <a:off x="17644533" y="4116917"/>
          <a:ext cx="2091141" cy="7302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D8143CF-2DC9-4590-ADD6-CCA6352AF03F}" type="TxLink">
            <a:rPr lang="en-US" sz="1400" b="0" i="0" u="none" strike="noStrike">
              <a:solidFill>
                <a:srgbClr val="000000"/>
              </a:solidFill>
              <a:latin typeface="Calibri"/>
              <a:ea typeface="Calibri"/>
              <a:cs typeface="Calibri"/>
            </a:rPr>
            <a:pPr algn="ctr"/>
            <a:t>North
West
South</a:t>
          </a:fld>
          <a:endParaRPr lang="en-US" sz="1800"/>
        </a:p>
      </xdr:txBody>
    </xdr:sp>
    <xdr:clientData/>
  </xdr:twoCellAnchor>
  <xdr:twoCellAnchor>
    <xdr:from>
      <xdr:col>28</xdr:col>
      <xdr:colOff>469901</xdr:colOff>
      <xdr:row>27</xdr:row>
      <xdr:rowOff>42332</xdr:rowOff>
    </xdr:from>
    <xdr:to>
      <xdr:col>32</xdr:col>
      <xdr:colOff>87659</xdr:colOff>
      <xdr:row>31</xdr:row>
      <xdr:rowOff>127360</xdr:rowOff>
    </xdr:to>
    <xdr:sp macro="" textlink="">
      <xdr:nvSpPr>
        <xdr:cNvPr id="39" name="Rectangle 38">
          <a:extLst>
            <a:ext uri="{FF2B5EF4-FFF2-40B4-BE49-F238E27FC236}">
              <a16:creationId xmlns:a16="http://schemas.microsoft.com/office/drawing/2014/main" id="{00000000-0008-0000-0100-000027000000}"/>
            </a:ext>
          </a:extLst>
        </xdr:cNvPr>
        <xdr:cNvSpPr/>
      </xdr:nvSpPr>
      <xdr:spPr>
        <a:xfrm>
          <a:off x="17657234" y="4900082"/>
          <a:ext cx="2073092" cy="80469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000" b="1">
              <a:solidFill>
                <a:schemeClr val="tx1"/>
              </a:solidFill>
            </a:rPr>
            <a:t>Highest</a:t>
          </a:r>
          <a:r>
            <a:rPr lang="en-GB" sz="2000" b="1" baseline="0">
              <a:solidFill>
                <a:schemeClr val="tx1"/>
              </a:solidFill>
            </a:rPr>
            <a:t> - selling Product</a:t>
          </a:r>
          <a:endParaRPr lang="en-GB" sz="2000" b="1">
            <a:solidFill>
              <a:schemeClr val="tx1"/>
            </a:solidFill>
          </a:endParaRPr>
        </a:p>
      </xdr:txBody>
    </xdr:sp>
    <xdr:clientData/>
  </xdr:twoCellAnchor>
  <xdr:twoCellAnchor>
    <xdr:from>
      <xdr:col>28</xdr:col>
      <xdr:colOff>465657</xdr:colOff>
      <xdr:row>32</xdr:row>
      <xdr:rowOff>31751</xdr:rowOff>
    </xdr:from>
    <xdr:to>
      <xdr:col>32</xdr:col>
      <xdr:colOff>95251</xdr:colOff>
      <xdr:row>36</xdr:row>
      <xdr:rowOff>137520</xdr:rowOff>
    </xdr:to>
    <xdr:sp macro="" textlink="Pivot!$F$58">
      <xdr:nvSpPr>
        <xdr:cNvPr id="40" name="Rectangle 39">
          <a:extLst>
            <a:ext uri="{FF2B5EF4-FFF2-40B4-BE49-F238E27FC236}">
              <a16:creationId xmlns:a16="http://schemas.microsoft.com/office/drawing/2014/main" id="{00000000-0008-0000-0100-000028000000}"/>
            </a:ext>
          </a:extLst>
        </xdr:cNvPr>
        <xdr:cNvSpPr/>
      </xdr:nvSpPr>
      <xdr:spPr>
        <a:xfrm>
          <a:off x="17652990" y="5789084"/>
          <a:ext cx="2084928" cy="825436"/>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1A70DF9-0A31-47E2-9A0B-9E615B7E214B}" type="TxLink">
            <a:rPr lang="en-US" sz="1600" b="0" i="0" u="none" strike="noStrike">
              <a:solidFill>
                <a:srgbClr val="000000"/>
              </a:solidFill>
              <a:latin typeface="Calibri"/>
              <a:ea typeface="Calibri"/>
              <a:cs typeface="Calibri"/>
            </a:rPr>
            <a:pPr algn="ctr"/>
            <a:t>Smartphone</a:t>
          </a:fld>
          <a:endParaRPr lang="en-GB" sz="2400"/>
        </a:p>
      </xdr:txBody>
    </xdr:sp>
    <xdr:clientData/>
  </xdr:twoCellAnchor>
  <xdr:twoCellAnchor>
    <xdr:from>
      <xdr:col>22</xdr:col>
      <xdr:colOff>410703</xdr:colOff>
      <xdr:row>20</xdr:row>
      <xdr:rowOff>52917</xdr:rowOff>
    </xdr:from>
    <xdr:to>
      <xdr:col>28</xdr:col>
      <xdr:colOff>410702</xdr:colOff>
      <xdr:row>37</xdr:row>
      <xdr:rowOff>39217</xdr:rowOff>
    </xdr:to>
    <xdr:sp macro="" textlink="">
      <xdr:nvSpPr>
        <xdr:cNvPr id="43" name="Rectangle 42">
          <a:extLst>
            <a:ext uri="{FF2B5EF4-FFF2-40B4-BE49-F238E27FC236}">
              <a16:creationId xmlns:a16="http://schemas.microsoft.com/office/drawing/2014/main" id="{00000000-0008-0000-0100-00002B000000}"/>
            </a:ext>
          </a:extLst>
        </xdr:cNvPr>
        <xdr:cNvSpPr/>
      </xdr:nvSpPr>
      <xdr:spPr>
        <a:xfrm>
          <a:off x="13915036" y="3651250"/>
          <a:ext cx="3682999" cy="304488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461912</xdr:colOff>
      <xdr:row>20</xdr:row>
      <xdr:rowOff>31751</xdr:rowOff>
    </xdr:from>
    <xdr:to>
      <xdr:col>28</xdr:col>
      <xdr:colOff>359492</xdr:colOff>
      <xdr:row>36</xdr:row>
      <xdr:rowOff>169334</xdr:rowOff>
    </xdr:to>
    <xdr:graphicFrame macro="">
      <xdr:nvGraphicFramePr>
        <xdr:cNvPr id="44" name="Chart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068.905465046293" createdVersion="8" refreshedVersion="8" minRefreshableVersion="3" recordCount="100">
  <cacheSource type="worksheet">
    <worksheetSource name="Table1"/>
  </cacheSource>
  <cacheFields count="25">
    <cacheField name="Order ID" numFmtId="0">
      <sharedItems/>
    </cacheField>
    <cacheField name="Order Date" numFmtId="14">
      <sharedItems containsSemiMixedTypes="0" containsNonDate="0" containsDate="1" containsString="0" minDate="2023-01-04T00:00:00" maxDate="2024-01-01T00:00:00" count="81">
        <d v="2023-12-31T00:00:00"/>
        <d v="2023-02-22T00:00:00"/>
        <d v="2023-11-10T00:00:00"/>
        <d v="2023-05-05T00:00:00"/>
        <d v="2023-02-02T00:00:00"/>
        <d v="2023-01-11T00:00:00"/>
        <d v="2023-08-14T00:00:00"/>
        <d v="2023-01-04T00:00:00"/>
        <d v="2023-07-21T00:00:00"/>
        <d v="2023-12-29T00:00:00"/>
        <d v="2023-04-05T00:00:00"/>
        <d v="2023-07-25T00:00:00"/>
        <d v="2023-02-25T00:00:00"/>
        <d v="2023-02-24T00:00:00"/>
        <d v="2023-08-26T00:00:00"/>
        <d v="2023-02-13T00:00:00"/>
        <d v="2023-06-28T00:00:00"/>
        <d v="2023-11-28T00:00:00"/>
        <d v="2023-08-25T00:00:00"/>
        <d v="2023-12-04T00:00:00"/>
        <d v="2023-02-10T00:00:00"/>
        <d v="2023-09-11T00:00:00"/>
        <d v="2023-02-11T00:00:00"/>
        <d v="2023-05-28T00:00:00"/>
        <d v="2023-10-15T00:00:00"/>
        <d v="2023-01-16T00:00:00"/>
        <d v="2023-09-10T00:00:00"/>
        <d v="2023-07-10T00:00:00"/>
        <d v="2023-02-14T00:00:00"/>
        <d v="2023-03-26T00:00:00"/>
        <d v="2023-06-15T00:00:00"/>
        <d v="2023-05-22T00:00:00"/>
        <d v="2023-11-20T00:00:00"/>
        <d v="2023-12-22T00:00:00"/>
        <d v="2023-07-23T00:00:00"/>
        <d v="2023-10-17T00:00:00"/>
        <d v="2023-08-22T00:00:00"/>
        <d v="2023-02-12T00:00:00"/>
        <d v="2023-12-25T00:00:00"/>
        <d v="2023-09-23T00:00:00"/>
        <d v="2023-07-16T00:00:00"/>
        <d v="2023-05-02T00:00:00"/>
        <d v="2023-12-18T00:00:00"/>
        <d v="2023-11-06T00:00:00"/>
        <d v="2023-04-12T00:00:00"/>
        <d v="2023-07-17T00:00:00"/>
        <d v="2023-10-19T00:00:00"/>
        <d v="2023-05-15T00:00:00"/>
        <d v="2023-12-02T00:00:00"/>
        <d v="2023-01-30T00:00:00"/>
        <d v="2023-06-03T00:00:00"/>
        <d v="2023-10-18T00:00:00"/>
        <d v="2023-07-01T00:00:00"/>
        <d v="2023-08-05T00:00:00"/>
        <d v="2023-02-04T00:00:00"/>
        <d v="2023-10-09T00:00:00"/>
        <d v="2023-11-22T00:00:00"/>
        <d v="2023-02-05T00:00:00"/>
        <d v="2023-05-20T00:00:00"/>
        <d v="2023-07-28T00:00:00"/>
        <d v="2023-02-07T00:00:00"/>
        <d v="2023-07-03T00:00:00"/>
        <d v="2023-07-22T00:00:00"/>
        <d v="2023-01-18T00:00:00"/>
        <d v="2023-05-24T00:00:00"/>
        <d v="2023-03-09T00:00:00"/>
        <d v="2023-03-12T00:00:00"/>
        <d v="2023-10-16T00:00:00"/>
        <d v="2023-05-11T00:00:00"/>
        <d v="2023-10-28T00:00:00"/>
        <d v="2023-10-11T00:00:00"/>
        <d v="2023-07-13T00:00:00"/>
        <d v="2023-06-23T00:00:00"/>
        <d v="2023-02-21T00:00:00"/>
        <d v="2023-02-19T00:00:00"/>
        <d v="2023-05-12T00:00:00"/>
        <d v="2023-07-06T00:00:00"/>
        <d v="2023-09-07T00:00:00"/>
        <d v="2023-12-23T00:00:00"/>
        <d v="2023-09-25T00:00:00"/>
        <d v="2023-03-27T00:00:00"/>
      </sharedItems>
      <fieldGroup base="1">
        <rangePr groupBy="months" startDate="2023-01-04T00:00:00" endDate="2024-01-01T00:00:00"/>
        <groupItems count="14">
          <s v="&lt;04/01/2023"/>
          <s v="Jan"/>
          <s v="Feb"/>
          <s v="Mar"/>
          <s v="Apr"/>
          <s v="May"/>
          <s v="Jun"/>
          <s v="Jul"/>
          <s v="Aug"/>
          <s v="Sep"/>
          <s v="Oct"/>
          <s v="Nov"/>
          <s v="Dec"/>
          <s v="&gt;01/01/2024"/>
        </groupItems>
      </fieldGroup>
    </cacheField>
    <cacheField name="Month" numFmtId="0">
      <sharedItems count="12">
        <s v="Dec"/>
        <s v="Feb"/>
        <s v="Nov"/>
        <s v="May"/>
        <s v="Jan"/>
        <s v="Aug"/>
        <s v="Jul"/>
        <s v="Apr"/>
        <s v="Jun"/>
        <s v="Sep"/>
        <s v="Oct"/>
        <s v="Mar"/>
      </sharedItems>
    </cacheField>
    <cacheField name="Year" numFmtId="0">
      <sharedItems/>
    </cacheField>
    <cacheField name="Delivery Date" numFmtId="14">
      <sharedItems containsNonDate="0" containsDate="1" containsString="0" containsBlank="1" minDate="2023-01-02T00:00:00" maxDate="2024-01-02T00:00:00"/>
    </cacheField>
    <cacheField name="Cancel Date" numFmtId="14">
      <sharedItems containsNonDate="0" containsDate="1" containsString="0" containsBlank="1" minDate="2023-01-24T00:00:00" maxDate="2024-02-02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Sales Amount" numFmtId="0">
      <sharedItems containsSemiMixedTypes="0" containsString="0" containsNumber="1" containsInteger="1" minValue="21" maxValue="3260"/>
    </cacheField>
    <cacheField name="Time in delivery(Days)" numFmtId="0">
      <sharedItems containsMixedTypes="1" containsNumber="1" containsInteger="1" minValue="-286" maxValue="184" count="18">
        <s v=""/>
        <n v="2"/>
        <n v="89"/>
        <n v="-172"/>
        <n v="6"/>
        <n v="1"/>
        <n v="4"/>
        <n v="5"/>
        <n v="7"/>
        <n v="122"/>
        <n v="-286"/>
        <n v="-28"/>
        <n v="3"/>
        <n v="120"/>
        <n v="62"/>
        <n v="184"/>
        <n v="59"/>
        <n v="91"/>
      </sharedItems>
    </cacheField>
    <cacheField name="Product Category" numFmtId="0">
      <sharedItems count="6">
        <s v="Home"/>
        <s v="Toys"/>
        <s v="Fashion"/>
        <s v="Electronics"/>
        <s v="Books"/>
        <e v="#NAME?" u="1"/>
      </sharedItems>
    </cacheField>
    <cacheField name="Customer Name" numFmtId="0">
      <sharedItems/>
    </cacheField>
    <cacheField name="Delivery  Performance" numFmtId="0">
      <sharedItems count="2">
        <s v="Fast"/>
        <s v="Slow"/>
      </sharedItems>
    </cacheField>
    <cacheField name="Date of Delivery" numFmtId="14">
      <sharedItems containsDate="1" containsMixedTypes="1" minDate="2023-01-02T00:00:00" maxDate="2024-01-02T00:00:00"/>
    </cacheField>
    <cacheField name="Order status" numFmtId="0">
      <sharedItems count="2">
        <s v="Cancelled"/>
        <s v="Delivered"/>
      </sharedItems>
    </cacheField>
    <cacheField name="Cancelled Flag" numFmtId="0">
      <sharedItems containsSemiMixedTypes="0" containsString="0" containsNumber="1" containsInteger="1" minValue="0" maxValue="1"/>
    </cacheField>
    <cacheField name="Product Name "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Effective Sales Amount" numFmtId="0" formula="IF('Delivery Status'=&quot;Cancelled&quot;,0,'Sales Am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s v="2023"/>
    <m/>
    <d v="2024-02-01T00:00:00"/>
    <s v="CUST021"/>
    <s v="PROD012"/>
    <x v="0"/>
    <n v="44"/>
    <n v="1"/>
    <n v="44"/>
    <x v="0"/>
    <x v="0"/>
    <s v="DHL"/>
    <n v="44"/>
    <x v="0"/>
    <x v="0"/>
    <s v="Zoe Mitchell"/>
    <x v="0"/>
    <s v="Cancellations"/>
    <x v="0"/>
    <n v="1"/>
    <x v="0"/>
  </r>
  <r>
    <s v="ORD0002"/>
    <x v="1"/>
    <x v="1"/>
    <s v="2023"/>
    <d v="2023-02-24T00:00:00"/>
    <m/>
    <s v="CUST029"/>
    <s v="PROD018"/>
    <x v="1"/>
    <n v="96"/>
    <n v="4"/>
    <n v="384"/>
    <x v="1"/>
    <x v="1"/>
    <s v="DHL"/>
    <n v="384"/>
    <x v="1"/>
    <x v="1"/>
    <s v="Ava White"/>
    <x v="0"/>
    <d v="2023-02-24T00:00:00"/>
    <x v="1"/>
    <n v="0"/>
    <x v="1"/>
  </r>
  <r>
    <s v="ORD0003"/>
    <x v="2"/>
    <x v="2"/>
    <s v="2023"/>
    <m/>
    <m/>
    <s v="CUST021"/>
    <s v="PROD013"/>
    <x v="2"/>
    <n v="194"/>
    <n v="4"/>
    <n v="776"/>
    <x v="1"/>
    <x v="2"/>
    <s v="USPS"/>
    <n v="776"/>
    <x v="0"/>
    <x v="0"/>
    <s v="Zoe Mitchell"/>
    <x v="0"/>
    <s v="Cancellations"/>
    <x v="1"/>
    <n v="0"/>
    <x v="2"/>
  </r>
  <r>
    <s v="ORD0004"/>
    <x v="3"/>
    <x v="3"/>
    <s v="2023"/>
    <m/>
    <d v="2023-11-05T00:00:00"/>
    <s v="CUST044"/>
    <s v="PROD013"/>
    <x v="0"/>
    <n v="196"/>
    <n v="3"/>
    <n v="588"/>
    <x v="2"/>
    <x v="0"/>
    <s v="UPS"/>
    <n v="588"/>
    <x v="0"/>
    <x v="0"/>
    <s v="Grace Ward"/>
    <x v="0"/>
    <s v="Cancellations"/>
    <x v="0"/>
    <n v="1"/>
    <x v="2"/>
  </r>
  <r>
    <s v="ORD0005"/>
    <x v="4"/>
    <x v="1"/>
    <s v="2023"/>
    <d v="2023-05-02T00:00:00"/>
    <m/>
    <s v="CUST027"/>
    <s v="PROD010"/>
    <x v="0"/>
    <n v="59"/>
    <n v="1"/>
    <n v="59"/>
    <x v="2"/>
    <x v="1"/>
    <s v="Amazon Logistics"/>
    <n v="59"/>
    <x v="2"/>
    <x v="2"/>
    <s v="Hazel Brooks"/>
    <x v="1"/>
    <d v="2023-05-02T00:00:00"/>
    <x v="1"/>
    <n v="0"/>
    <x v="3"/>
  </r>
  <r>
    <s v="ORD0006"/>
    <x v="5"/>
    <x v="4"/>
    <s v="2023"/>
    <m/>
    <d v="2023-02-11T00:00:00"/>
    <s v="CUST009"/>
    <s v="PROD010"/>
    <x v="0"/>
    <n v="58"/>
    <n v="4"/>
    <n v="232"/>
    <x v="3"/>
    <x v="0"/>
    <s v="DHL"/>
    <n v="232"/>
    <x v="0"/>
    <x v="2"/>
    <s v="Jackson Allen"/>
    <x v="0"/>
    <s v="Cancellations"/>
    <x v="0"/>
    <n v="1"/>
    <x v="3"/>
  </r>
  <r>
    <s v="ORD0007"/>
    <x v="6"/>
    <x v="5"/>
    <s v="2023"/>
    <m/>
    <d v="2023-08-18T00:00:00"/>
    <s v="CUST042"/>
    <s v="PROD020"/>
    <x v="3"/>
    <n v="105"/>
    <n v="3"/>
    <n v="315"/>
    <x v="4"/>
    <x v="0"/>
    <s v="DHL"/>
    <n v="315"/>
    <x v="0"/>
    <x v="3"/>
    <s v="Noah Wilson"/>
    <x v="0"/>
    <s v="Cancellations"/>
    <x v="0"/>
    <n v="1"/>
    <x v="4"/>
  </r>
  <r>
    <s v="ORD0008"/>
    <x v="7"/>
    <x v="4"/>
    <s v="2023"/>
    <m/>
    <d v="2023-06-04T00:00:00"/>
    <s v="CUST019"/>
    <s v="PROD021"/>
    <x v="4"/>
    <n v="37"/>
    <n v="5"/>
    <n v="185"/>
    <x v="2"/>
    <x v="0"/>
    <s v="DHL"/>
    <n v="185"/>
    <x v="0"/>
    <x v="0"/>
    <s v="Ava Robinson"/>
    <x v="0"/>
    <s v="Cancellations"/>
    <x v="0"/>
    <n v="1"/>
    <x v="5"/>
  </r>
  <r>
    <s v="ORD0009"/>
    <x v="8"/>
    <x v="6"/>
    <s v="2023"/>
    <m/>
    <m/>
    <s v="CUST013"/>
    <s v="PROD019"/>
    <x v="3"/>
    <n v="44"/>
    <n v="2"/>
    <n v="88"/>
    <x v="1"/>
    <x v="2"/>
    <s v="Amazon Logistics"/>
    <n v="88"/>
    <x v="0"/>
    <x v="2"/>
    <s v="Olivia Martinez"/>
    <x v="0"/>
    <s v="Cancellations"/>
    <x v="1"/>
    <n v="0"/>
    <x v="6"/>
  </r>
  <r>
    <s v="ORD0010"/>
    <x v="9"/>
    <x v="0"/>
    <s v="2023"/>
    <m/>
    <m/>
    <s v="CUST019"/>
    <s v="PROD003"/>
    <x v="2"/>
    <n v="141"/>
    <n v="4"/>
    <n v="564"/>
    <x v="4"/>
    <x v="2"/>
    <s v="DHL"/>
    <n v="564"/>
    <x v="0"/>
    <x v="0"/>
    <s v="Ava Robinson"/>
    <x v="0"/>
    <s v="Cancellations"/>
    <x v="1"/>
    <n v="0"/>
    <x v="7"/>
  </r>
  <r>
    <s v="ORD0011"/>
    <x v="10"/>
    <x v="7"/>
    <s v="2023"/>
    <m/>
    <d v="2023-08-05T00:00:00"/>
    <s v="CUST046"/>
    <s v="PROD014"/>
    <x v="2"/>
    <n v="249"/>
    <n v="1"/>
    <n v="249"/>
    <x v="3"/>
    <x v="0"/>
    <s v="USPS"/>
    <n v="249"/>
    <x v="0"/>
    <x v="3"/>
    <s v="Emily Johnson"/>
    <x v="0"/>
    <s v="Cancellations"/>
    <x v="0"/>
    <n v="1"/>
    <x v="8"/>
  </r>
  <r>
    <s v="ORD0012"/>
    <x v="11"/>
    <x v="6"/>
    <s v="2023"/>
    <m/>
    <m/>
    <s v="CUST045"/>
    <s v="PROD014"/>
    <x v="3"/>
    <n v="247"/>
    <n v="3"/>
    <n v="741"/>
    <x v="3"/>
    <x v="2"/>
    <s v="FedEx"/>
    <n v="741"/>
    <x v="0"/>
    <x v="3"/>
    <s v="Emily Johnson"/>
    <x v="0"/>
    <s v="Cancellations"/>
    <x v="1"/>
    <n v="0"/>
    <x v="8"/>
  </r>
  <r>
    <s v="ORD0013"/>
    <x v="12"/>
    <x v="1"/>
    <s v="2023"/>
    <m/>
    <d v="2023-02-28T00:00:00"/>
    <s v="CUST023"/>
    <s v="PROD006"/>
    <x v="3"/>
    <n v="96"/>
    <n v="1"/>
    <n v="96"/>
    <x v="0"/>
    <x v="0"/>
    <s v="Amazon Logistics"/>
    <n v="96"/>
    <x v="0"/>
    <x v="2"/>
    <s v="Charlotte Reed"/>
    <x v="0"/>
    <s v="Cancellations"/>
    <x v="0"/>
    <n v="1"/>
    <x v="9"/>
  </r>
  <r>
    <s v="ORD0014"/>
    <x v="13"/>
    <x v="1"/>
    <s v="2023"/>
    <m/>
    <d v="2023-02-25T00:00:00"/>
    <s v="CUST033"/>
    <s v="PROD017"/>
    <x v="4"/>
    <n v="74"/>
    <n v="5"/>
    <n v="370"/>
    <x v="0"/>
    <x v="0"/>
    <s v="Amazon Logistics"/>
    <n v="370"/>
    <x v="0"/>
    <x v="3"/>
    <s v="Hazel Rivera"/>
    <x v="0"/>
    <s v="Cancellations"/>
    <x v="0"/>
    <n v="1"/>
    <x v="10"/>
  </r>
  <r>
    <s v="ORD0015"/>
    <x v="14"/>
    <x v="5"/>
    <s v="2023"/>
    <m/>
    <d v="2023-02-09T00:00:00"/>
    <s v="CUST033"/>
    <s v="PROD005"/>
    <x v="2"/>
    <n v="27"/>
    <n v="1"/>
    <n v="27"/>
    <x v="1"/>
    <x v="0"/>
    <s v="Amazon Logistics"/>
    <n v="27"/>
    <x v="0"/>
    <x v="2"/>
    <s v="Hazel Rivera"/>
    <x v="0"/>
    <s v="Cancellations"/>
    <x v="0"/>
    <n v="1"/>
    <x v="11"/>
  </r>
  <r>
    <s v="ORD0016"/>
    <x v="15"/>
    <x v="1"/>
    <s v="2023"/>
    <m/>
    <m/>
    <s v="CUST047"/>
    <s v="PROD005"/>
    <x v="2"/>
    <n v="27"/>
    <n v="3"/>
    <n v="81"/>
    <x v="4"/>
    <x v="2"/>
    <s v="Amazon Logistics"/>
    <n v="81"/>
    <x v="0"/>
    <x v="2"/>
    <s v="Scarlett Murphy"/>
    <x v="0"/>
    <s v="Cancellations"/>
    <x v="1"/>
    <n v="0"/>
    <x v="11"/>
  </r>
  <r>
    <s v="ORD0017"/>
    <x v="16"/>
    <x v="8"/>
    <s v="2023"/>
    <d v="2023-01-07T00:00:00"/>
    <m/>
    <s v="CUST045"/>
    <s v="PROD015"/>
    <x v="1"/>
    <n v="21"/>
    <n v="3"/>
    <n v="63"/>
    <x v="1"/>
    <x v="1"/>
    <s v="DHL"/>
    <n v="63"/>
    <x v="3"/>
    <x v="4"/>
    <s v="Emily Johnson"/>
    <x v="0"/>
    <d v="2023-01-07T00:00:00"/>
    <x v="1"/>
    <n v="0"/>
    <x v="12"/>
  </r>
  <r>
    <s v="ORD0018"/>
    <x v="17"/>
    <x v="2"/>
    <s v="2023"/>
    <m/>
    <m/>
    <s v="CUST011"/>
    <s v="PROD008"/>
    <x v="4"/>
    <n v="70"/>
    <n v="5"/>
    <n v="350"/>
    <x v="2"/>
    <x v="2"/>
    <s v="Amazon Logistics"/>
    <n v="350"/>
    <x v="0"/>
    <x v="4"/>
    <s v="Mason Hall"/>
    <x v="0"/>
    <s v="Cancellations"/>
    <x v="1"/>
    <n v="0"/>
    <x v="13"/>
  </r>
  <r>
    <s v="ORD0019"/>
    <x v="18"/>
    <x v="5"/>
    <s v="2023"/>
    <m/>
    <m/>
    <s v="CUST041"/>
    <s v="PROD006"/>
    <x v="2"/>
    <n v="94"/>
    <n v="4"/>
    <n v="376"/>
    <x v="1"/>
    <x v="2"/>
    <s v="USPS"/>
    <n v="376"/>
    <x v="0"/>
    <x v="2"/>
    <s v="Jacob Price"/>
    <x v="0"/>
    <s v="Cancellations"/>
    <x v="1"/>
    <n v="0"/>
    <x v="9"/>
  </r>
  <r>
    <s v="ORD0020"/>
    <x v="19"/>
    <x v="0"/>
    <s v="2023"/>
    <m/>
    <m/>
    <s v="CUST025"/>
    <s v="PROD001"/>
    <x v="0"/>
    <n v="813"/>
    <n v="2"/>
    <n v="1626"/>
    <x v="1"/>
    <x v="2"/>
    <s v="FedEx"/>
    <n v="1626"/>
    <x v="0"/>
    <x v="3"/>
    <s v="Emma King"/>
    <x v="0"/>
    <s v="Cancellations"/>
    <x v="1"/>
    <n v="0"/>
    <x v="14"/>
  </r>
  <r>
    <s v="ORD0021"/>
    <x v="20"/>
    <x v="1"/>
    <s v="2023"/>
    <m/>
    <m/>
    <s v="CUST013"/>
    <s v="PROD015"/>
    <x v="3"/>
    <n v="21"/>
    <n v="4"/>
    <n v="84"/>
    <x v="2"/>
    <x v="2"/>
    <s v="Amazon Logistics"/>
    <n v="84"/>
    <x v="0"/>
    <x v="4"/>
    <s v="Olivia Martinez"/>
    <x v="0"/>
    <s v="Cancellations"/>
    <x v="1"/>
    <n v="0"/>
    <x v="12"/>
  </r>
  <r>
    <s v="ORD0022"/>
    <x v="21"/>
    <x v="9"/>
    <s v="2023"/>
    <m/>
    <m/>
    <s v="CUST023"/>
    <s v="PROD012"/>
    <x v="4"/>
    <n v="46"/>
    <n v="5"/>
    <n v="230"/>
    <x v="2"/>
    <x v="2"/>
    <s v="USPS"/>
    <n v="230"/>
    <x v="0"/>
    <x v="0"/>
    <s v="Charlotte Reed"/>
    <x v="0"/>
    <s v="Cancellations"/>
    <x v="1"/>
    <n v="0"/>
    <x v="0"/>
  </r>
  <r>
    <s v="ORD0023"/>
    <x v="15"/>
    <x v="1"/>
    <s v="2023"/>
    <m/>
    <d v="2023-02-14T00:00:00"/>
    <s v="CUST016"/>
    <s v="PROD010"/>
    <x v="4"/>
    <n v="58"/>
    <n v="3"/>
    <n v="174"/>
    <x v="3"/>
    <x v="0"/>
    <s v="Amazon Logistics"/>
    <n v="174"/>
    <x v="0"/>
    <x v="2"/>
    <s v="Elijah Lewis"/>
    <x v="0"/>
    <s v="Cancellations"/>
    <x v="0"/>
    <n v="1"/>
    <x v="3"/>
  </r>
  <r>
    <s v="ORD0024"/>
    <x v="22"/>
    <x v="1"/>
    <s v="2023"/>
    <d v="2023-05-11T00:00:00"/>
    <m/>
    <s v="CUST028"/>
    <s v="PROD006"/>
    <x v="4"/>
    <n v="96"/>
    <n v="5"/>
    <n v="480"/>
    <x v="3"/>
    <x v="1"/>
    <s v="Amazon Logistics"/>
    <n v="480"/>
    <x v="2"/>
    <x v="2"/>
    <s v="Lily Bennett"/>
    <x v="1"/>
    <d v="2023-05-11T00:00:00"/>
    <x v="1"/>
    <n v="0"/>
    <x v="9"/>
  </r>
  <r>
    <s v="ORD0025"/>
    <x v="23"/>
    <x v="3"/>
    <s v="2023"/>
    <d v="2023-05-30T00:00:00"/>
    <m/>
    <s v="CUST040"/>
    <s v="PROD002"/>
    <x v="2"/>
    <n v="43"/>
    <n v="1"/>
    <n v="43"/>
    <x v="4"/>
    <x v="1"/>
    <s v="Amazon Logistics"/>
    <n v="43"/>
    <x v="1"/>
    <x v="1"/>
    <s v="Benjamin Clark"/>
    <x v="0"/>
    <d v="2023-05-30T00:00:00"/>
    <x v="1"/>
    <n v="0"/>
    <x v="15"/>
  </r>
  <r>
    <s v="ORD0026"/>
    <x v="24"/>
    <x v="10"/>
    <s v="2023"/>
    <d v="2023-10-21T00:00:00"/>
    <m/>
    <s v="CUST027"/>
    <s v="PROD022"/>
    <x v="2"/>
    <n v="64"/>
    <n v="4"/>
    <n v="256"/>
    <x v="4"/>
    <x v="1"/>
    <s v="USPS"/>
    <n v="256"/>
    <x v="4"/>
    <x v="2"/>
    <s v="Hazel Brooks"/>
    <x v="1"/>
    <d v="2023-10-21T00:00:00"/>
    <x v="1"/>
    <n v="0"/>
    <x v="16"/>
  </r>
  <r>
    <s v="ORD0027"/>
    <x v="25"/>
    <x v="4"/>
    <s v="2023"/>
    <m/>
    <m/>
    <s v="CUST018"/>
    <s v="PROD008"/>
    <x v="2"/>
    <n v="70"/>
    <n v="2"/>
    <n v="140"/>
    <x v="3"/>
    <x v="2"/>
    <s v="Amazon Logistics"/>
    <n v="140"/>
    <x v="0"/>
    <x v="4"/>
    <s v="Grace Scott"/>
    <x v="0"/>
    <s v="Cancellations"/>
    <x v="1"/>
    <n v="0"/>
    <x v="13"/>
  </r>
  <r>
    <s v="ORD0028"/>
    <x v="26"/>
    <x v="9"/>
    <s v="2023"/>
    <m/>
    <m/>
    <s v="CUST018"/>
    <s v="PROD018"/>
    <x v="3"/>
    <n v="97"/>
    <n v="3"/>
    <n v="291"/>
    <x v="1"/>
    <x v="2"/>
    <s v="Amazon Logistics"/>
    <n v="291"/>
    <x v="0"/>
    <x v="1"/>
    <s v="Grace Scott"/>
    <x v="0"/>
    <s v="Cancellations"/>
    <x v="1"/>
    <n v="0"/>
    <x v="1"/>
  </r>
  <r>
    <s v="ORD0029"/>
    <x v="27"/>
    <x v="6"/>
    <s v="2023"/>
    <m/>
    <d v="2023-10-10T00:00:00"/>
    <s v="CUST007"/>
    <s v="PROD021"/>
    <x v="1"/>
    <n v="37"/>
    <n v="3"/>
    <n v="111"/>
    <x v="0"/>
    <x v="0"/>
    <s v="DHL"/>
    <n v="111"/>
    <x v="0"/>
    <x v="0"/>
    <s v="Liam Walker"/>
    <x v="0"/>
    <s v="Cancellations"/>
    <x v="0"/>
    <n v="1"/>
    <x v="5"/>
  </r>
  <r>
    <s v="ORD0030"/>
    <x v="28"/>
    <x v="1"/>
    <s v="2023"/>
    <m/>
    <m/>
    <s v="CUST008"/>
    <s v="PROD008"/>
    <x v="0"/>
    <n v="69"/>
    <n v="5"/>
    <n v="345"/>
    <x v="3"/>
    <x v="2"/>
    <s v="Amazon Logistics"/>
    <n v="345"/>
    <x v="0"/>
    <x v="4"/>
    <s v="Harper Young"/>
    <x v="0"/>
    <s v="Cancellations"/>
    <x v="1"/>
    <n v="0"/>
    <x v="13"/>
  </r>
  <r>
    <s v="ORD0031"/>
    <x v="29"/>
    <x v="11"/>
    <s v="2023"/>
    <m/>
    <m/>
    <s v="CUST014"/>
    <s v="PROD002"/>
    <x v="0"/>
    <n v="42"/>
    <n v="5"/>
    <n v="210"/>
    <x v="3"/>
    <x v="2"/>
    <s v="UPS"/>
    <n v="210"/>
    <x v="0"/>
    <x v="1"/>
    <s v="Harper Young"/>
    <x v="0"/>
    <s v="Cancellations"/>
    <x v="1"/>
    <n v="0"/>
    <x v="15"/>
  </r>
  <r>
    <s v="ORD0032"/>
    <x v="30"/>
    <x v="8"/>
    <s v="2023"/>
    <m/>
    <d v="2023-06-22T00:00:00"/>
    <s v="CUST037"/>
    <s v="PROD009"/>
    <x v="1"/>
    <n v="11"/>
    <n v="5"/>
    <n v="55"/>
    <x v="4"/>
    <x v="0"/>
    <s v="FedEx"/>
    <n v="55"/>
    <x v="0"/>
    <x v="4"/>
    <s v="Emily Johnson"/>
    <x v="0"/>
    <s v="Cancellations"/>
    <x v="0"/>
    <n v="1"/>
    <x v="17"/>
  </r>
  <r>
    <s v="ORD0033"/>
    <x v="31"/>
    <x v="3"/>
    <s v="2023"/>
    <d v="2023-05-23T00:00:00"/>
    <m/>
    <s v="CUST016"/>
    <s v="PROD005"/>
    <x v="2"/>
    <n v="27"/>
    <n v="2"/>
    <n v="54"/>
    <x v="0"/>
    <x v="1"/>
    <s v="USPS"/>
    <n v="54"/>
    <x v="5"/>
    <x v="2"/>
    <s v="Elijah Lewis"/>
    <x v="0"/>
    <d v="2023-05-23T00:00:00"/>
    <x v="1"/>
    <n v="0"/>
    <x v="11"/>
  </r>
  <r>
    <s v="ORD0034"/>
    <x v="32"/>
    <x v="2"/>
    <s v="2023"/>
    <m/>
    <m/>
    <s v="CUST025"/>
    <s v="PROD015"/>
    <x v="2"/>
    <n v="21"/>
    <n v="1"/>
    <n v="21"/>
    <x v="3"/>
    <x v="2"/>
    <s v="DHL"/>
    <n v="21"/>
    <x v="0"/>
    <x v="4"/>
    <s v="Emma King"/>
    <x v="0"/>
    <s v="Cancellations"/>
    <x v="1"/>
    <n v="0"/>
    <x v="12"/>
  </r>
  <r>
    <s v="ORD0035"/>
    <x v="33"/>
    <x v="0"/>
    <s v="2023"/>
    <d v="2023-12-26T00:00:00"/>
    <m/>
    <s v="CUST032"/>
    <s v="PROD011"/>
    <x v="2"/>
    <n v="172"/>
    <n v="1"/>
    <n v="172"/>
    <x v="2"/>
    <x v="1"/>
    <s v="USPS"/>
    <n v="172"/>
    <x v="6"/>
    <x v="3"/>
    <s v="Luke Gray"/>
    <x v="1"/>
    <d v="2023-12-26T00:00:00"/>
    <x v="1"/>
    <n v="0"/>
    <x v="18"/>
  </r>
  <r>
    <s v="ORD0036"/>
    <x v="34"/>
    <x v="6"/>
    <s v="2023"/>
    <m/>
    <m/>
    <s v="CUST014"/>
    <s v="PROD016"/>
    <x v="0"/>
    <n v="212"/>
    <n v="3"/>
    <n v="636"/>
    <x v="3"/>
    <x v="2"/>
    <s v="UPS"/>
    <n v="636"/>
    <x v="0"/>
    <x v="0"/>
    <s v="Harper Young"/>
    <x v="0"/>
    <s v="Cancellations"/>
    <x v="1"/>
    <n v="0"/>
    <x v="19"/>
  </r>
  <r>
    <s v="ORD0037"/>
    <x v="35"/>
    <x v="10"/>
    <s v="2023"/>
    <d v="2023-10-22T00:00:00"/>
    <m/>
    <s v="CUST044"/>
    <s v="PROD002"/>
    <x v="1"/>
    <n v="41"/>
    <n v="4"/>
    <n v="164"/>
    <x v="1"/>
    <x v="1"/>
    <s v="Amazon Logistics"/>
    <n v="164"/>
    <x v="7"/>
    <x v="1"/>
    <s v="Grace Ward"/>
    <x v="1"/>
    <d v="2023-10-22T00:00:00"/>
    <x v="1"/>
    <n v="0"/>
    <x v="15"/>
  </r>
  <r>
    <s v="ORD0038"/>
    <x v="36"/>
    <x v="5"/>
    <s v="2023"/>
    <m/>
    <d v="2023-08-24T00:00:00"/>
    <s v="CUST028"/>
    <s v="PROD007"/>
    <x v="0"/>
    <n v="32"/>
    <n v="2"/>
    <n v="64"/>
    <x v="4"/>
    <x v="0"/>
    <s v="FedEx"/>
    <n v="64"/>
    <x v="0"/>
    <x v="1"/>
    <s v="Lily Bennett"/>
    <x v="0"/>
    <s v="Cancellations"/>
    <x v="0"/>
    <n v="1"/>
    <x v="20"/>
  </r>
  <r>
    <s v="ORD0039"/>
    <x v="37"/>
    <x v="1"/>
    <s v="2023"/>
    <m/>
    <m/>
    <s v="CUST024"/>
    <s v="PROD022"/>
    <x v="1"/>
    <n v="66"/>
    <n v="2"/>
    <n v="132"/>
    <x v="0"/>
    <x v="2"/>
    <s v="DHL"/>
    <n v="132"/>
    <x v="0"/>
    <x v="2"/>
    <s v="Scarlett Murphy"/>
    <x v="0"/>
    <s v="Cancellations"/>
    <x v="1"/>
    <n v="0"/>
    <x v="16"/>
  </r>
  <r>
    <s v="ORD0040"/>
    <x v="38"/>
    <x v="0"/>
    <s v="2023"/>
    <m/>
    <m/>
    <s v="CUST006"/>
    <s v="PROD004"/>
    <x v="1"/>
    <n v="62"/>
    <n v="4"/>
    <n v="248"/>
    <x v="4"/>
    <x v="2"/>
    <s v="UPS"/>
    <n v="248"/>
    <x v="0"/>
    <x v="1"/>
    <s v="Ava Robinson"/>
    <x v="0"/>
    <s v="Cancellations"/>
    <x v="1"/>
    <n v="0"/>
    <x v="21"/>
  </r>
  <r>
    <s v="ORD0041"/>
    <x v="39"/>
    <x v="9"/>
    <s v="2023"/>
    <d v="2023-09-30T00:00:00"/>
    <m/>
    <s v="CUST001"/>
    <s v="PROD011"/>
    <x v="4"/>
    <n v="173"/>
    <n v="4"/>
    <n v="692"/>
    <x v="0"/>
    <x v="1"/>
    <s v="UPS"/>
    <n v="692"/>
    <x v="8"/>
    <x v="3"/>
    <s v="James Miller"/>
    <x v="1"/>
    <d v="2023-09-30T00:00:00"/>
    <x v="1"/>
    <n v="0"/>
    <x v="18"/>
  </r>
  <r>
    <s v="ORD0042"/>
    <x v="40"/>
    <x v="6"/>
    <s v="2023"/>
    <d v="2023-07-18T00:00:00"/>
    <m/>
    <s v="CUST007"/>
    <s v="PROD004"/>
    <x v="4"/>
    <n v="63"/>
    <n v="3"/>
    <n v="189"/>
    <x v="0"/>
    <x v="1"/>
    <s v="UPS"/>
    <n v="189"/>
    <x v="1"/>
    <x v="1"/>
    <s v="Liam Walker"/>
    <x v="0"/>
    <d v="2023-07-18T00:00:00"/>
    <x v="1"/>
    <n v="0"/>
    <x v="21"/>
  </r>
  <r>
    <s v="ORD0043"/>
    <x v="41"/>
    <x v="3"/>
    <s v="2023"/>
    <m/>
    <d v="2023-11-02T00:00:00"/>
    <s v="CUST040"/>
    <s v="PROD021"/>
    <x v="4"/>
    <n v="36"/>
    <n v="3"/>
    <n v="108"/>
    <x v="4"/>
    <x v="0"/>
    <s v="USPS"/>
    <n v="108"/>
    <x v="0"/>
    <x v="0"/>
    <s v="Benjamin Clark"/>
    <x v="0"/>
    <s v="Cancellations"/>
    <x v="0"/>
    <n v="1"/>
    <x v="5"/>
  </r>
  <r>
    <s v="ORD0044"/>
    <x v="42"/>
    <x v="0"/>
    <s v="2023"/>
    <m/>
    <d v="2023-12-23T00:00:00"/>
    <s v="CUST006"/>
    <s v="PROD004"/>
    <x v="3"/>
    <n v="62"/>
    <n v="1"/>
    <n v="62"/>
    <x v="0"/>
    <x v="0"/>
    <s v="Amazon Logistics"/>
    <n v="62"/>
    <x v="0"/>
    <x v="1"/>
    <s v="Ava Robinson"/>
    <x v="0"/>
    <s v="Cancellations"/>
    <x v="0"/>
    <n v="1"/>
    <x v="21"/>
  </r>
  <r>
    <s v="ORD0045"/>
    <x v="43"/>
    <x v="2"/>
    <s v="2023"/>
    <m/>
    <d v="2023-06-14T00:00:00"/>
    <s v="CUST042"/>
    <s v="PROD003"/>
    <x v="3"/>
    <n v="137"/>
    <n v="5"/>
    <n v="685"/>
    <x v="3"/>
    <x v="0"/>
    <s v="FedEx"/>
    <n v="685"/>
    <x v="0"/>
    <x v="0"/>
    <s v="Noah Wilson"/>
    <x v="0"/>
    <s v="Cancellations"/>
    <x v="0"/>
    <n v="1"/>
    <x v="7"/>
  </r>
  <r>
    <s v="ORD0046"/>
    <x v="44"/>
    <x v="7"/>
    <s v="2023"/>
    <d v="2023-08-12T00:00:00"/>
    <m/>
    <s v="CUST039"/>
    <s v="PROD017"/>
    <x v="0"/>
    <n v="73"/>
    <n v="4"/>
    <n v="292"/>
    <x v="1"/>
    <x v="1"/>
    <s v="Amazon Logistics"/>
    <n v="292"/>
    <x v="9"/>
    <x v="3"/>
    <s v="Logan Ramirez"/>
    <x v="1"/>
    <d v="2023-08-12T00:00:00"/>
    <x v="1"/>
    <n v="0"/>
    <x v="10"/>
  </r>
  <r>
    <s v="ORD0047"/>
    <x v="45"/>
    <x v="6"/>
    <s v="2023"/>
    <d v="2023-07-19T00:00:00"/>
    <m/>
    <s v="CUST041"/>
    <s v="PROD020"/>
    <x v="0"/>
    <n v="104"/>
    <n v="1"/>
    <n v="104"/>
    <x v="2"/>
    <x v="1"/>
    <s v="Amazon Logistics"/>
    <n v="104"/>
    <x v="1"/>
    <x v="3"/>
    <s v="Jacob Price"/>
    <x v="0"/>
    <d v="2023-07-19T00:00:00"/>
    <x v="1"/>
    <n v="0"/>
    <x v="4"/>
  </r>
  <r>
    <s v="ORD0048"/>
    <x v="46"/>
    <x v="10"/>
    <s v="2023"/>
    <d v="2023-10-24T00:00:00"/>
    <m/>
    <s v="CUST044"/>
    <s v="PROD006"/>
    <x v="1"/>
    <n v="97"/>
    <n v="1"/>
    <n v="97"/>
    <x v="3"/>
    <x v="1"/>
    <s v="FedEx"/>
    <n v="97"/>
    <x v="7"/>
    <x v="2"/>
    <s v="Grace Ward"/>
    <x v="1"/>
    <d v="2023-10-24T00:00:00"/>
    <x v="1"/>
    <n v="0"/>
    <x v="9"/>
  </r>
  <r>
    <s v="ORD0049"/>
    <x v="47"/>
    <x v="3"/>
    <s v="2023"/>
    <m/>
    <m/>
    <s v="CUST026"/>
    <s v="PROD017"/>
    <x v="2"/>
    <n v="73"/>
    <n v="5"/>
    <n v="365"/>
    <x v="0"/>
    <x v="2"/>
    <s v="Amazon Logistics"/>
    <n v="365"/>
    <x v="0"/>
    <x v="3"/>
    <s v="Zoe Mitchell"/>
    <x v="0"/>
    <s v="Cancellations"/>
    <x v="1"/>
    <n v="0"/>
    <x v="10"/>
  </r>
  <r>
    <s v="ORD0050"/>
    <x v="48"/>
    <x v="0"/>
    <s v="2023"/>
    <d v="2023-02-19T00:00:00"/>
    <m/>
    <s v="CUST040"/>
    <s v="PROD005"/>
    <x v="1"/>
    <n v="27"/>
    <n v="3"/>
    <n v="81"/>
    <x v="3"/>
    <x v="1"/>
    <s v="UPS"/>
    <n v="81"/>
    <x v="10"/>
    <x v="2"/>
    <s v="Benjamin Clark"/>
    <x v="0"/>
    <d v="2023-02-19T00:00:00"/>
    <x v="1"/>
    <n v="0"/>
    <x v="11"/>
  </r>
  <r>
    <s v="ORD0051"/>
    <x v="20"/>
    <x v="1"/>
    <s v="2023"/>
    <m/>
    <m/>
    <s v="CUST041"/>
    <s v="PROD021"/>
    <x v="0"/>
    <n v="37"/>
    <n v="1"/>
    <n v="37"/>
    <x v="0"/>
    <x v="2"/>
    <s v="UPS"/>
    <n v="37"/>
    <x v="0"/>
    <x v="0"/>
    <s v="Jacob Price"/>
    <x v="0"/>
    <s v="Cancellations"/>
    <x v="1"/>
    <n v="0"/>
    <x v="5"/>
  </r>
  <r>
    <s v="ORD0052"/>
    <x v="49"/>
    <x v="4"/>
    <s v="2023"/>
    <d v="2023-01-02T00:00:00"/>
    <m/>
    <s v="CUST008"/>
    <s v="PROD015"/>
    <x v="0"/>
    <n v="22"/>
    <n v="1"/>
    <n v="22"/>
    <x v="4"/>
    <x v="1"/>
    <s v="FedEx"/>
    <n v="22"/>
    <x v="11"/>
    <x v="4"/>
    <s v="Harper Young"/>
    <x v="0"/>
    <d v="2023-01-02T00:00:00"/>
    <x v="1"/>
    <n v="0"/>
    <x v="12"/>
  </r>
  <r>
    <s v="ORD0053"/>
    <x v="9"/>
    <x v="0"/>
    <s v="2023"/>
    <d v="2024-01-01T00:00:00"/>
    <m/>
    <s v="CUST011"/>
    <s v="PROD016"/>
    <x v="3"/>
    <n v="218"/>
    <n v="5"/>
    <n v="1090"/>
    <x v="2"/>
    <x v="1"/>
    <s v="DHL"/>
    <n v="1090"/>
    <x v="12"/>
    <x v="0"/>
    <s v="Mason Hall"/>
    <x v="1"/>
    <d v="2024-01-01T00:00:00"/>
    <x v="1"/>
    <n v="0"/>
    <x v="19"/>
  </r>
  <r>
    <s v="ORD0054"/>
    <x v="50"/>
    <x v="8"/>
    <s v="2023"/>
    <m/>
    <d v="2023-03-13T00:00:00"/>
    <s v="CUST018"/>
    <s v="PROD004"/>
    <x v="0"/>
    <n v="64"/>
    <n v="1"/>
    <n v="64"/>
    <x v="0"/>
    <x v="0"/>
    <s v="USPS"/>
    <n v="64"/>
    <x v="0"/>
    <x v="1"/>
    <s v="Grace Scott"/>
    <x v="0"/>
    <s v="Cancellations"/>
    <x v="0"/>
    <n v="1"/>
    <x v="21"/>
  </r>
  <r>
    <s v="ORD0055"/>
    <x v="4"/>
    <x v="1"/>
    <s v="2023"/>
    <d v="2023-06-02T00:00:00"/>
    <m/>
    <s v="CUST037"/>
    <s v="PROD021"/>
    <x v="3"/>
    <n v="36"/>
    <n v="4"/>
    <n v="144"/>
    <x v="2"/>
    <x v="1"/>
    <s v="Amazon Logistics"/>
    <n v="144"/>
    <x v="13"/>
    <x v="0"/>
    <s v="Emily Johnson"/>
    <x v="1"/>
    <d v="2023-06-02T00:00:00"/>
    <x v="1"/>
    <n v="0"/>
    <x v="5"/>
  </r>
  <r>
    <s v="ORD0056"/>
    <x v="51"/>
    <x v="10"/>
    <s v="2023"/>
    <d v="2023-10-21T00:00:00"/>
    <m/>
    <s v="CUST017"/>
    <s v="PROD004"/>
    <x v="4"/>
    <n v="65"/>
    <n v="1"/>
    <n v="65"/>
    <x v="3"/>
    <x v="1"/>
    <s v="FedEx"/>
    <n v="65"/>
    <x v="12"/>
    <x v="1"/>
    <s v="Emma King"/>
    <x v="1"/>
    <d v="2023-10-21T00:00:00"/>
    <x v="1"/>
    <n v="0"/>
    <x v="21"/>
  </r>
  <r>
    <s v="ORD0057"/>
    <x v="52"/>
    <x v="6"/>
    <s v="2023"/>
    <d v="2023-09-01T00:00:00"/>
    <m/>
    <s v="CUST025"/>
    <s v="PROD005"/>
    <x v="3"/>
    <n v="26"/>
    <n v="1"/>
    <n v="26"/>
    <x v="0"/>
    <x v="1"/>
    <s v="DHL"/>
    <n v="26"/>
    <x v="14"/>
    <x v="2"/>
    <s v="Emma King"/>
    <x v="1"/>
    <d v="2023-09-01T00:00:00"/>
    <x v="1"/>
    <n v="0"/>
    <x v="11"/>
  </r>
  <r>
    <s v="ORD0058"/>
    <x v="53"/>
    <x v="5"/>
    <s v="2023"/>
    <m/>
    <m/>
    <s v="CUST021"/>
    <s v="PROD009"/>
    <x v="0"/>
    <n v="11"/>
    <n v="5"/>
    <n v="55"/>
    <x v="1"/>
    <x v="2"/>
    <s v="FedEx"/>
    <n v="55"/>
    <x v="0"/>
    <x v="4"/>
    <s v="Zoe Mitchell"/>
    <x v="0"/>
    <s v="Cancellations"/>
    <x v="1"/>
    <n v="0"/>
    <x v="17"/>
  </r>
  <r>
    <s v="ORD0059"/>
    <x v="54"/>
    <x v="1"/>
    <s v="2023"/>
    <m/>
    <d v="2023-05-04T00:00:00"/>
    <s v="CUST003"/>
    <s v="PROD013"/>
    <x v="0"/>
    <n v="195"/>
    <n v="4"/>
    <n v="780"/>
    <x v="2"/>
    <x v="0"/>
    <s v="FedEx"/>
    <n v="780"/>
    <x v="0"/>
    <x v="0"/>
    <s v="Ethan Davis"/>
    <x v="0"/>
    <s v="Cancellations"/>
    <x v="0"/>
    <n v="1"/>
    <x v="2"/>
  </r>
  <r>
    <s v="ORD0060"/>
    <x v="2"/>
    <x v="2"/>
    <s v="2023"/>
    <m/>
    <d v="2023-12-10T00:00:00"/>
    <s v="CUST019"/>
    <s v="PROD019"/>
    <x v="4"/>
    <n v="44"/>
    <n v="5"/>
    <n v="220"/>
    <x v="0"/>
    <x v="0"/>
    <s v="USPS"/>
    <n v="220"/>
    <x v="0"/>
    <x v="2"/>
    <s v="Ava Robinson"/>
    <x v="0"/>
    <s v="Cancellations"/>
    <x v="0"/>
    <n v="1"/>
    <x v="6"/>
  </r>
  <r>
    <s v="ORD0061"/>
    <x v="55"/>
    <x v="10"/>
    <s v="2023"/>
    <m/>
    <m/>
    <s v="CUST035"/>
    <s v="PROD008"/>
    <x v="1"/>
    <n v="69"/>
    <n v="4"/>
    <n v="276"/>
    <x v="4"/>
    <x v="2"/>
    <s v="DHL"/>
    <n v="276"/>
    <x v="0"/>
    <x v="4"/>
    <s v="Scarlett Adams"/>
    <x v="0"/>
    <s v="Cancellations"/>
    <x v="1"/>
    <n v="0"/>
    <x v="13"/>
  </r>
  <r>
    <s v="ORD0062"/>
    <x v="56"/>
    <x v="2"/>
    <s v="2023"/>
    <d v="2023-11-29T00:00:00"/>
    <m/>
    <s v="CUST022"/>
    <s v="PROD001"/>
    <x v="0"/>
    <n v="815"/>
    <n v="4"/>
    <n v="3260"/>
    <x v="1"/>
    <x v="1"/>
    <s v="USPS"/>
    <n v="3260"/>
    <x v="8"/>
    <x v="3"/>
    <s v="Elijah Lewis"/>
    <x v="1"/>
    <d v="2023-11-29T00:00:00"/>
    <x v="1"/>
    <n v="0"/>
    <x v="14"/>
  </r>
  <r>
    <s v="ORD0063"/>
    <x v="57"/>
    <x v="1"/>
    <s v="2023"/>
    <m/>
    <m/>
    <s v="CUST004"/>
    <s v="PROD005"/>
    <x v="1"/>
    <n v="27"/>
    <n v="1"/>
    <n v="27"/>
    <x v="4"/>
    <x v="2"/>
    <s v="Amazon Logistics"/>
    <n v="27"/>
    <x v="0"/>
    <x v="2"/>
    <s v="Noah Wilson"/>
    <x v="0"/>
    <s v="Cancellations"/>
    <x v="1"/>
    <n v="0"/>
    <x v="11"/>
  </r>
  <r>
    <s v="ORD0064"/>
    <x v="38"/>
    <x v="0"/>
    <s v="2023"/>
    <d v="2023-12-29T00:00:00"/>
    <m/>
    <s v="CUST048"/>
    <s v="PROD003"/>
    <x v="4"/>
    <n v="139"/>
    <n v="5"/>
    <n v="695"/>
    <x v="0"/>
    <x v="1"/>
    <s v="USPS"/>
    <n v="695"/>
    <x v="6"/>
    <x v="0"/>
    <s v="Noah Wilson"/>
    <x v="1"/>
    <d v="2023-12-29T00:00:00"/>
    <x v="1"/>
    <n v="0"/>
    <x v="7"/>
  </r>
  <r>
    <s v="ORD0065"/>
    <x v="51"/>
    <x v="10"/>
    <s v="2023"/>
    <m/>
    <d v="2023-10-20T00:00:00"/>
    <s v="CUST009"/>
    <s v="PROD008"/>
    <x v="2"/>
    <n v="69"/>
    <n v="3"/>
    <n v="207"/>
    <x v="2"/>
    <x v="0"/>
    <s v="Amazon Logistics"/>
    <n v="207"/>
    <x v="0"/>
    <x v="4"/>
    <s v="Jackson Allen"/>
    <x v="0"/>
    <s v="Cancellations"/>
    <x v="0"/>
    <n v="1"/>
    <x v="13"/>
  </r>
  <r>
    <s v="ORD0066"/>
    <x v="58"/>
    <x v="3"/>
    <s v="2023"/>
    <m/>
    <d v="2023-05-21T00:00:00"/>
    <s v="CUST009"/>
    <s v="PROD019"/>
    <x v="4"/>
    <n v="42"/>
    <n v="1"/>
    <n v="42"/>
    <x v="0"/>
    <x v="0"/>
    <s v="DHL"/>
    <n v="42"/>
    <x v="0"/>
    <x v="2"/>
    <s v="Jackson Allen"/>
    <x v="0"/>
    <s v="Cancellations"/>
    <x v="0"/>
    <n v="1"/>
    <x v="6"/>
  </r>
  <r>
    <s v="ORD0067"/>
    <x v="59"/>
    <x v="6"/>
    <s v="2023"/>
    <d v="2023-07-30T00:00:00"/>
    <m/>
    <s v="CUST050"/>
    <s v="PROD007"/>
    <x v="0"/>
    <n v="31"/>
    <n v="4"/>
    <n v="124"/>
    <x v="1"/>
    <x v="1"/>
    <s v="UPS"/>
    <n v="124"/>
    <x v="1"/>
    <x v="1"/>
    <e v="#N/A"/>
    <x v="0"/>
    <d v="2023-07-30T00:00:00"/>
    <x v="1"/>
    <n v="0"/>
    <x v="20"/>
  </r>
  <r>
    <s v="ORD0068"/>
    <x v="42"/>
    <x v="0"/>
    <s v="2023"/>
    <m/>
    <m/>
    <s v="CUST045"/>
    <s v="PROD020"/>
    <x v="4"/>
    <n v="104"/>
    <n v="3"/>
    <n v="312"/>
    <x v="1"/>
    <x v="2"/>
    <s v="UPS"/>
    <n v="312"/>
    <x v="0"/>
    <x v="3"/>
    <s v="Emily Johnson"/>
    <x v="0"/>
    <s v="Cancellations"/>
    <x v="1"/>
    <n v="0"/>
    <x v="4"/>
  </r>
  <r>
    <s v="ORD0069"/>
    <x v="60"/>
    <x v="1"/>
    <s v="2023"/>
    <m/>
    <d v="2023-07-07T00:00:00"/>
    <s v="CUST044"/>
    <s v="PROD010"/>
    <x v="1"/>
    <n v="58"/>
    <n v="2"/>
    <n v="116"/>
    <x v="0"/>
    <x v="0"/>
    <s v="USPS"/>
    <n v="116"/>
    <x v="0"/>
    <x v="2"/>
    <s v="Grace Ward"/>
    <x v="0"/>
    <s v="Cancellations"/>
    <x v="0"/>
    <n v="1"/>
    <x v="3"/>
  </r>
  <r>
    <s v="ORD0070"/>
    <x v="26"/>
    <x v="9"/>
    <s v="2023"/>
    <m/>
    <d v="2023-10-10T00:00:00"/>
    <s v="CUST009"/>
    <s v="PROD004"/>
    <x v="4"/>
    <n v="62"/>
    <n v="2"/>
    <n v="124"/>
    <x v="4"/>
    <x v="0"/>
    <s v="DHL"/>
    <n v="124"/>
    <x v="0"/>
    <x v="1"/>
    <s v="Jackson Allen"/>
    <x v="0"/>
    <s v="Cancellations"/>
    <x v="0"/>
    <n v="1"/>
    <x v="21"/>
  </r>
  <r>
    <s v="ORD0071"/>
    <x v="42"/>
    <x v="0"/>
    <s v="2023"/>
    <d v="2023-12-25T00:00:00"/>
    <m/>
    <s v="CUST006"/>
    <s v="PROD019"/>
    <x v="1"/>
    <n v="43"/>
    <n v="1"/>
    <n v="43"/>
    <x v="1"/>
    <x v="1"/>
    <s v="Amazon Logistics"/>
    <n v="43"/>
    <x v="8"/>
    <x v="2"/>
    <s v="Ava Robinson"/>
    <x v="1"/>
    <d v="2023-12-25T00:00:00"/>
    <x v="1"/>
    <n v="0"/>
    <x v="6"/>
  </r>
  <r>
    <s v="ORD0072"/>
    <x v="61"/>
    <x v="6"/>
    <s v="2023"/>
    <m/>
    <m/>
    <s v="CUST022"/>
    <s v="PROD004"/>
    <x v="1"/>
    <n v="62"/>
    <n v="4"/>
    <n v="248"/>
    <x v="4"/>
    <x v="2"/>
    <s v="Amazon Logistics"/>
    <n v="248"/>
    <x v="0"/>
    <x v="1"/>
    <s v="Elijah Lewis"/>
    <x v="0"/>
    <s v="Cancellations"/>
    <x v="1"/>
    <n v="0"/>
    <x v="21"/>
  </r>
  <r>
    <s v="ORD0073"/>
    <x v="62"/>
    <x v="6"/>
    <s v="2023"/>
    <m/>
    <d v="2023-02-25T00:00:00"/>
    <s v="CUST028"/>
    <s v="PROD006"/>
    <x v="0"/>
    <n v="95"/>
    <n v="2"/>
    <n v="190"/>
    <x v="2"/>
    <x v="0"/>
    <s v="UPS"/>
    <n v="190"/>
    <x v="0"/>
    <x v="2"/>
    <s v="Lily Bennett"/>
    <x v="0"/>
    <s v="Cancellations"/>
    <x v="0"/>
    <n v="1"/>
    <x v="9"/>
  </r>
  <r>
    <s v="ORD0074"/>
    <x v="63"/>
    <x v="4"/>
    <s v="2023"/>
    <d v="2023-01-24T00:00:00"/>
    <m/>
    <s v="CUST016"/>
    <s v="PROD021"/>
    <x v="3"/>
    <n v="36"/>
    <n v="4"/>
    <n v="144"/>
    <x v="0"/>
    <x v="1"/>
    <s v="FedEx"/>
    <n v="144"/>
    <x v="4"/>
    <x v="0"/>
    <s v="Elijah Lewis"/>
    <x v="1"/>
    <d v="2023-01-24T00:00:00"/>
    <x v="1"/>
    <n v="0"/>
    <x v="5"/>
  </r>
  <r>
    <s v="ORD0075"/>
    <x v="64"/>
    <x v="3"/>
    <s v="2023"/>
    <m/>
    <m/>
    <s v="CUST042"/>
    <s v="PROD017"/>
    <x v="1"/>
    <n v="73"/>
    <n v="5"/>
    <n v="365"/>
    <x v="0"/>
    <x v="2"/>
    <s v="DHL"/>
    <n v="365"/>
    <x v="0"/>
    <x v="3"/>
    <s v="Noah Wilson"/>
    <x v="0"/>
    <s v="Cancellations"/>
    <x v="1"/>
    <n v="0"/>
    <x v="10"/>
  </r>
  <r>
    <s v="ORD0076"/>
    <x v="65"/>
    <x v="11"/>
    <s v="2023"/>
    <d v="2023-09-09T00:00:00"/>
    <m/>
    <s v="CUST023"/>
    <s v="PROD019"/>
    <x v="0"/>
    <n v="43"/>
    <n v="4"/>
    <n v="172"/>
    <x v="4"/>
    <x v="1"/>
    <s v="DHL"/>
    <n v="172"/>
    <x v="15"/>
    <x v="2"/>
    <s v="Charlotte Reed"/>
    <x v="1"/>
    <d v="2023-09-09T00:00:00"/>
    <x v="1"/>
    <n v="0"/>
    <x v="6"/>
  </r>
  <r>
    <s v="ORD0077"/>
    <x v="22"/>
    <x v="1"/>
    <s v="2023"/>
    <d v="2023-04-11T00:00:00"/>
    <m/>
    <s v="CUST004"/>
    <s v="PROD016"/>
    <x v="4"/>
    <n v="214"/>
    <n v="5"/>
    <n v="1070"/>
    <x v="4"/>
    <x v="1"/>
    <s v="UPS"/>
    <n v="1070"/>
    <x v="16"/>
    <x v="0"/>
    <s v="Noah Wilson"/>
    <x v="1"/>
    <d v="2023-04-11T00:00:00"/>
    <x v="1"/>
    <n v="0"/>
    <x v="19"/>
  </r>
  <r>
    <s v="ORD0078"/>
    <x v="66"/>
    <x v="11"/>
    <s v="2023"/>
    <m/>
    <d v="2023-06-12T00:00:00"/>
    <s v="CUST048"/>
    <s v="PROD002"/>
    <x v="3"/>
    <n v="42"/>
    <n v="2"/>
    <n v="84"/>
    <x v="0"/>
    <x v="0"/>
    <s v="UPS"/>
    <n v="84"/>
    <x v="0"/>
    <x v="1"/>
    <s v="Noah Wilson"/>
    <x v="0"/>
    <s v="Cancellations"/>
    <x v="0"/>
    <n v="1"/>
    <x v="15"/>
  </r>
  <r>
    <s v="ORD0079"/>
    <x v="7"/>
    <x v="4"/>
    <s v="2023"/>
    <m/>
    <m/>
    <s v="CUST048"/>
    <s v="PROD012"/>
    <x v="0"/>
    <n v="46"/>
    <n v="1"/>
    <n v="46"/>
    <x v="3"/>
    <x v="2"/>
    <s v="UPS"/>
    <n v="46"/>
    <x v="0"/>
    <x v="0"/>
    <s v="Noah Wilson"/>
    <x v="0"/>
    <s v="Cancellations"/>
    <x v="1"/>
    <n v="0"/>
    <x v="0"/>
  </r>
  <r>
    <s v="ORD0080"/>
    <x v="67"/>
    <x v="10"/>
    <s v="2023"/>
    <d v="2023-10-19T00:00:00"/>
    <m/>
    <s v="CUST032"/>
    <s v="PROD018"/>
    <x v="1"/>
    <n v="95"/>
    <n v="4"/>
    <n v="380"/>
    <x v="1"/>
    <x v="1"/>
    <s v="UPS"/>
    <n v="380"/>
    <x v="12"/>
    <x v="1"/>
    <s v="Luke Gray"/>
    <x v="1"/>
    <d v="2023-10-19T00:00:00"/>
    <x v="1"/>
    <n v="0"/>
    <x v="1"/>
  </r>
  <r>
    <s v="ORD0081"/>
    <x v="68"/>
    <x v="3"/>
    <s v="2023"/>
    <m/>
    <m/>
    <s v="CUST001"/>
    <s v="PROD011"/>
    <x v="4"/>
    <n v="174"/>
    <n v="2"/>
    <n v="348"/>
    <x v="2"/>
    <x v="2"/>
    <s v="UPS"/>
    <n v="348"/>
    <x v="0"/>
    <x v="3"/>
    <s v="James Miller"/>
    <x v="0"/>
    <s v="Cancellations"/>
    <x v="1"/>
    <n v="0"/>
    <x v="18"/>
  </r>
  <r>
    <s v="ORD0082"/>
    <x v="30"/>
    <x v="8"/>
    <s v="2023"/>
    <m/>
    <d v="2023-06-18T00:00:00"/>
    <s v="CUST046"/>
    <s v="PROD005"/>
    <x v="0"/>
    <n v="27"/>
    <n v="5"/>
    <n v="135"/>
    <x v="1"/>
    <x v="0"/>
    <s v="Amazon Logistics"/>
    <n v="135"/>
    <x v="0"/>
    <x v="2"/>
    <s v="Emily Johnson"/>
    <x v="0"/>
    <s v="Cancellations"/>
    <x v="0"/>
    <n v="1"/>
    <x v="11"/>
  </r>
  <r>
    <s v="ORD0083"/>
    <x v="69"/>
    <x v="10"/>
    <s v="2023"/>
    <d v="2023-10-30T00:00:00"/>
    <m/>
    <s v="CUST021"/>
    <s v="PROD005"/>
    <x v="2"/>
    <n v="27"/>
    <n v="4"/>
    <n v="108"/>
    <x v="2"/>
    <x v="1"/>
    <s v="USPS"/>
    <n v="108"/>
    <x v="1"/>
    <x v="2"/>
    <s v="Zoe Mitchell"/>
    <x v="0"/>
    <d v="2023-10-30T00:00:00"/>
    <x v="1"/>
    <n v="0"/>
    <x v="11"/>
  </r>
  <r>
    <s v="ORD0084"/>
    <x v="33"/>
    <x v="0"/>
    <s v="2023"/>
    <m/>
    <m/>
    <s v="CUST015"/>
    <s v="PROD022"/>
    <x v="2"/>
    <n v="65"/>
    <n v="2"/>
    <n v="130"/>
    <x v="2"/>
    <x v="2"/>
    <s v="DHL"/>
    <n v="130"/>
    <x v="0"/>
    <x v="2"/>
    <s v="Ava White"/>
    <x v="0"/>
    <s v="Cancellations"/>
    <x v="1"/>
    <n v="0"/>
    <x v="16"/>
  </r>
  <r>
    <s v="ORD0085"/>
    <x v="61"/>
    <x v="6"/>
    <s v="2023"/>
    <m/>
    <m/>
    <s v="CUST045"/>
    <s v="PROD019"/>
    <x v="1"/>
    <n v="43"/>
    <n v="5"/>
    <n v="215"/>
    <x v="4"/>
    <x v="2"/>
    <s v="DHL"/>
    <n v="215"/>
    <x v="0"/>
    <x v="2"/>
    <s v="Emily Johnson"/>
    <x v="0"/>
    <s v="Cancellations"/>
    <x v="1"/>
    <n v="0"/>
    <x v="6"/>
  </r>
  <r>
    <s v="ORD0086"/>
    <x v="70"/>
    <x v="10"/>
    <s v="2023"/>
    <m/>
    <m/>
    <s v="CUST007"/>
    <s v="PROD016"/>
    <x v="4"/>
    <n v="210"/>
    <n v="1"/>
    <n v="210"/>
    <x v="2"/>
    <x v="2"/>
    <s v="UPS"/>
    <n v="210"/>
    <x v="0"/>
    <x v="0"/>
    <s v="Liam Walker"/>
    <x v="0"/>
    <s v="Cancellations"/>
    <x v="1"/>
    <n v="0"/>
    <x v="19"/>
  </r>
  <r>
    <s v="ORD0087"/>
    <x v="56"/>
    <x v="2"/>
    <s v="2023"/>
    <m/>
    <m/>
    <s v="CUST043"/>
    <s v="PROD021"/>
    <x v="2"/>
    <n v="37"/>
    <n v="3"/>
    <n v="111"/>
    <x v="1"/>
    <x v="2"/>
    <s v="UPS"/>
    <n v="111"/>
    <x v="0"/>
    <x v="0"/>
    <s v="Lily Reed"/>
    <x v="0"/>
    <s v="Cancellations"/>
    <x v="1"/>
    <n v="0"/>
    <x v="5"/>
  </r>
  <r>
    <s v="ORD0088"/>
    <x v="53"/>
    <x v="5"/>
    <s v="2023"/>
    <m/>
    <m/>
    <s v="CUST007"/>
    <s v="PROD001"/>
    <x v="2"/>
    <n v="788"/>
    <n v="4"/>
    <n v="3152"/>
    <x v="4"/>
    <x v="2"/>
    <s v="Amazon Logistics"/>
    <n v="3152"/>
    <x v="0"/>
    <x v="3"/>
    <s v="Liam Walker"/>
    <x v="0"/>
    <s v="Cancellations"/>
    <x v="1"/>
    <n v="0"/>
    <x v="14"/>
  </r>
  <r>
    <s v="ORD0089"/>
    <x v="71"/>
    <x v="6"/>
    <s v="2023"/>
    <m/>
    <m/>
    <s v="CUST007"/>
    <s v="PROD016"/>
    <x v="4"/>
    <n v="217"/>
    <n v="5"/>
    <n v="1085"/>
    <x v="4"/>
    <x v="2"/>
    <s v="FedEx"/>
    <n v="1085"/>
    <x v="0"/>
    <x v="0"/>
    <s v="Liam Walker"/>
    <x v="0"/>
    <s v="Cancellations"/>
    <x v="1"/>
    <n v="0"/>
    <x v="19"/>
  </r>
  <r>
    <s v="ORD0090"/>
    <x v="63"/>
    <x v="4"/>
    <s v="2023"/>
    <m/>
    <m/>
    <s v="CUST007"/>
    <s v="PROD003"/>
    <x v="4"/>
    <n v="138"/>
    <n v="4"/>
    <n v="552"/>
    <x v="1"/>
    <x v="2"/>
    <s v="FedEx"/>
    <n v="552"/>
    <x v="0"/>
    <x v="0"/>
    <s v="Liam Walker"/>
    <x v="0"/>
    <s v="Cancellations"/>
    <x v="1"/>
    <n v="0"/>
    <x v="7"/>
  </r>
  <r>
    <s v="ORD0091"/>
    <x v="72"/>
    <x v="8"/>
    <s v="2023"/>
    <d v="2023-06-29T00:00:00"/>
    <m/>
    <s v="CUST031"/>
    <s v="PROD001"/>
    <x v="3"/>
    <n v="803"/>
    <n v="2"/>
    <n v="1606"/>
    <x v="0"/>
    <x v="1"/>
    <s v="FedEx"/>
    <n v="1606"/>
    <x v="4"/>
    <x v="3"/>
    <s v="Mason Collins"/>
    <x v="1"/>
    <d v="2023-06-29T00:00:00"/>
    <x v="1"/>
    <n v="0"/>
    <x v="14"/>
  </r>
  <r>
    <s v="ORD0092"/>
    <x v="73"/>
    <x v="1"/>
    <s v="2023"/>
    <m/>
    <d v="2023-02-25T00:00:00"/>
    <s v="CUST013"/>
    <s v="PROD014"/>
    <x v="0"/>
    <n v="248"/>
    <n v="5"/>
    <n v="1240"/>
    <x v="2"/>
    <x v="0"/>
    <s v="UPS"/>
    <n v="1240"/>
    <x v="0"/>
    <x v="3"/>
    <s v="Olivia Martinez"/>
    <x v="0"/>
    <s v="Cancellations"/>
    <x v="0"/>
    <n v="1"/>
    <x v="8"/>
  </r>
  <r>
    <s v="ORD0093"/>
    <x v="74"/>
    <x v="1"/>
    <s v="2023"/>
    <d v="2023-02-21T00:00:00"/>
    <m/>
    <s v="CUST036"/>
    <s v="PROD016"/>
    <x v="1"/>
    <n v="210"/>
    <n v="3"/>
    <n v="630"/>
    <x v="0"/>
    <x v="1"/>
    <s v="DHL"/>
    <n v="630"/>
    <x v="1"/>
    <x v="0"/>
    <s v="Ethan Davis"/>
    <x v="0"/>
    <d v="2023-02-21T00:00:00"/>
    <x v="1"/>
    <n v="0"/>
    <x v="19"/>
  </r>
  <r>
    <s v="ORD0094"/>
    <x v="75"/>
    <x v="3"/>
    <s v="2023"/>
    <m/>
    <d v="2023-12-12T00:00:00"/>
    <s v="CUST013"/>
    <s v="PROD004"/>
    <x v="0"/>
    <n v="62"/>
    <n v="2"/>
    <n v="124"/>
    <x v="1"/>
    <x v="0"/>
    <s v="FedEx"/>
    <n v="124"/>
    <x v="0"/>
    <x v="1"/>
    <s v="Olivia Martinez"/>
    <x v="0"/>
    <s v="Cancellations"/>
    <x v="0"/>
    <n v="1"/>
    <x v="21"/>
  </r>
  <r>
    <s v="ORD0095"/>
    <x v="76"/>
    <x v="6"/>
    <s v="2023"/>
    <m/>
    <d v="2023-12-06T00:00:00"/>
    <s v="CUST043"/>
    <s v="PROD009"/>
    <x v="2"/>
    <n v="11"/>
    <n v="5"/>
    <n v="55"/>
    <x v="4"/>
    <x v="0"/>
    <s v="Amazon Logistics"/>
    <n v="55"/>
    <x v="0"/>
    <x v="4"/>
    <s v="Lily Reed"/>
    <x v="0"/>
    <s v="Cancellations"/>
    <x v="0"/>
    <n v="1"/>
    <x v="17"/>
  </r>
  <r>
    <s v="ORD0096"/>
    <x v="77"/>
    <x v="9"/>
    <s v="2023"/>
    <d v="2023-12-07T00:00:00"/>
    <m/>
    <s v="CUST017"/>
    <s v="PROD015"/>
    <x v="0"/>
    <n v="21"/>
    <n v="2"/>
    <n v="42"/>
    <x v="3"/>
    <x v="1"/>
    <s v="UPS"/>
    <n v="42"/>
    <x v="17"/>
    <x v="4"/>
    <s v="Emma King"/>
    <x v="1"/>
    <d v="2023-12-07T00:00:00"/>
    <x v="1"/>
    <n v="0"/>
    <x v="12"/>
  </r>
  <r>
    <s v="ORD0097"/>
    <x v="78"/>
    <x v="0"/>
    <s v="2023"/>
    <d v="2023-12-26T00:00:00"/>
    <m/>
    <s v="CUST023"/>
    <s v="PROD018"/>
    <x v="4"/>
    <n v="95"/>
    <n v="5"/>
    <n v="475"/>
    <x v="3"/>
    <x v="1"/>
    <s v="Amazon Logistics"/>
    <n v="475"/>
    <x v="12"/>
    <x v="1"/>
    <s v="Charlotte Reed"/>
    <x v="1"/>
    <d v="2023-12-26T00:00:00"/>
    <x v="1"/>
    <n v="0"/>
    <x v="1"/>
  </r>
  <r>
    <s v="ORD0098"/>
    <x v="79"/>
    <x v="9"/>
    <s v="2023"/>
    <d v="2023-09-30T00:00:00"/>
    <m/>
    <s v="CUST044"/>
    <s v="PROD016"/>
    <x v="2"/>
    <n v="215"/>
    <n v="2"/>
    <n v="430"/>
    <x v="2"/>
    <x v="1"/>
    <s v="Amazon Logistics"/>
    <n v="430"/>
    <x v="7"/>
    <x v="0"/>
    <s v="Grace Ward"/>
    <x v="1"/>
    <d v="2023-09-30T00:00:00"/>
    <x v="1"/>
    <n v="0"/>
    <x v="19"/>
  </r>
  <r>
    <s v="ORD0099"/>
    <x v="63"/>
    <x v="4"/>
    <s v="2023"/>
    <m/>
    <d v="2023-01-24T00:00:00"/>
    <s v="CUST034"/>
    <s v="PROD019"/>
    <x v="4"/>
    <n v="43"/>
    <n v="5"/>
    <n v="215"/>
    <x v="1"/>
    <x v="0"/>
    <s v="UPS"/>
    <n v="215"/>
    <x v="0"/>
    <x v="2"/>
    <s v="Lily Simmons"/>
    <x v="0"/>
    <s v="Cancellations"/>
    <x v="0"/>
    <n v="1"/>
    <x v="6"/>
  </r>
  <r>
    <s v="ORD0100"/>
    <x v="80"/>
    <x v="11"/>
    <s v="2023"/>
    <m/>
    <m/>
    <s v="CUST009"/>
    <s v="PROD002"/>
    <x v="4"/>
    <n v="42"/>
    <n v="4"/>
    <n v="168"/>
    <x v="4"/>
    <x v="2"/>
    <s v="DHL"/>
    <n v="168"/>
    <x v="0"/>
    <x v="1"/>
    <s v="Jackson Allen"/>
    <x v="0"/>
    <s v="Cancellations"/>
    <x v="1"/>
    <n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F45:G48" firstHeaderRow="1" firstDataRow="1" firstDataCol="1" rowPageCount="1" colPageCount="1"/>
  <pivotFields count="25">
    <pivotField dataField="1"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axis="axisPage" compact="0" outline="0" multipleItemSelectionAllowed="1" showAll="0">
      <items count="3">
        <item x="0"/>
        <item x="1"/>
        <item t="default"/>
      </items>
    </pivotField>
    <pivotField compact="0" outline="0" showAll="0"/>
    <pivotField compact="0" outline="0" showAll="0"/>
    <pivotField compact="0" outline="0" dragToRow="0" dragToCol="0" dragToPage="0" showAll="0" defaultSubtotal="0"/>
  </pivotFields>
  <rowFields count="1">
    <field x="19"/>
  </rowFields>
  <rowItems count="3">
    <i>
      <x/>
    </i>
    <i>
      <x v="1"/>
    </i>
    <i t="grand">
      <x/>
    </i>
  </rowItems>
  <colItems count="1">
    <i/>
  </colItems>
  <pageFields count="1">
    <pageField fld="21" hier="-1"/>
  </pageFields>
  <dataFields count="1">
    <dataField name="Count of Order ID" fld="0" subtotal="count" showDataAs="percentOfTotal" baseField="19" baseItem="0" numFmtId="9"/>
  </dataFields>
  <formats count="35">
    <format dxfId="2239">
      <pivotArea field="19" type="button" dataOnly="0" labelOnly="1" outline="0" axis="axisRow" fieldPosition="0"/>
    </format>
    <format dxfId="2238">
      <pivotArea field="19" type="button" dataOnly="0" labelOnly="1" outline="0" axis="axisRow" fieldPosition="0"/>
    </format>
    <format dxfId="2237">
      <pivotArea field="19" type="button" dataOnly="0" labelOnly="1" outline="0" axis="axisRow" fieldPosition="0"/>
    </format>
    <format dxfId="2236">
      <pivotArea field="19" type="button" dataOnly="0" labelOnly="1" outline="0" axis="axisRow" fieldPosition="0"/>
    </format>
    <format dxfId="2235">
      <pivotArea field="19" type="button" dataOnly="0" labelOnly="1" outline="0" axis="axisRow" fieldPosition="0"/>
    </format>
    <format dxfId="2234">
      <pivotArea outline="0" collapsedLevelsAreSubtotals="1" fieldPosition="0"/>
    </format>
    <format dxfId="2233">
      <pivotArea outline="0" collapsedLevelsAreSubtotals="1" fieldPosition="0"/>
    </format>
    <format dxfId="2232">
      <pivotArea outline="0" collapsedLevelsAreSubtotals="1" fieldPosition="0"/>
    </format>
    <format dxfId="2231">
      <pivotArea outline="0" collapsedLevelsAreSubtotals="1" fieldPosition="0"/>
    </format>
    <format dxfId="2230">
      <pivotArea outline="0" collapsedLevelsAreSubtotals="1" fieldPosition="0"/>
    </format>
    <format dxfId="2229">
      <pivotArea outline="0" collapsedLevelsAreSubtotals="1" fieldPosition="0"/>
    </format>
    <format dxfId="2228">
      <pivotArea outline="0" collapsedLevelsAreSubtotals="1" fieldPosition="0"/>
    </format>
    <format dxfId="2227">
      <pivotArea outline="0" collapsedLevelsAreSubtotals="1" fieldPosition="0"/>
    </format>
    <format dxfId="2226">
      <pivotArea outline="0" fieldPosition="0">
        <references count="1">
          <reference field="4294967294" count="1">
            <x v="0"/>
          </reference>
        </references>
      </pivotArea>
    </format>
    <format dxfId="2225">
      <pivotArea type="all" dataOnly="0" outline="0" fieldPosition="0"/>
    </format>
    <format dxfId="2224">
      <pivotArea outline="0" collapsedLevelsAreSubtotals="1" fieldPosition="0"/>
    </format>
    <format dxfId="2223">
      <pivotArea field="19" type="button" dataOnly="0" labelOnly="1" outline="0" axis="axisRow" fieldPosition="0"/>
    </format>
    <format dxfId="2222">
      <pivotArea dataOnly="0" labelOnly="1" outline="0" axis="axisValues" fieldPosition="0"/>
    </format>
    <format dxfId="2221">
      <pivotArea dataOnly="0" labelOnly="1" outline="0" fieldPosition="0">
        <references count="1">
          <reference field="19" count="0"/>
        </references>
      </pivotArea>
    </format>
    <format dxfId="2220">
      <pivotArea dataOnly="0" labelOnly="1" grandRow="1" outline="0" fieldPosition="0"/>
    </format>
    <format dxfId="2219">
      <pivotArea dataOnly="0" labelOnly="1" outline="0" axis="axisValues" fieldPosition="0"/>
    </format>
    <format dxfId="2218">
      <pivotArea outline="0" collapsedLevelsAreSubtotals="1" fieldPosition="0"/>
    </format>
    <format dxfId="2217">
      <pivotArea outline="0" collapsedLevelsAreSubtotals="1" fieldPosition="0"/>
    </format>
    <format dxfId="2216">
      <pivotArea outline="0" collapsedLevelsAreSubtotals="1" fieldPosition="0"/>
    </format>
    <format dxfId="2215">
      <pivotArea outline="0" collapsedLevelsAreSubtotals="1" fieldPosition="0"/>
    </format>
    <format dxfId="2214">
      <pivotArea outline="0" collapsedLevelsAreSubtotals="1" fieldPosition="0"/>
    </format>
    <format dxfId="2213">
      <pivotArea outline="0" collapsedLevelsAreSubtotals="1" fieldPosition="0"/>
    </format>
    <format dxfId="2212">
      <pivotArea dataOnly="0" labelOnly="1" grandRow="1" outline="0" fieldPosition="0"/>
    </format>
    <format dxfId="2211">
      <pivotArea type="all" dataOnly="0" outline="0" fieldPosition="0"/>
    </format>
    <format dxfId="2210">
      <pivotArea outline="0" collapsedLevelsAreSubtotals="1" fieldPosition="0"/>
    </format>
    <format dxfId="2209">
      <pivotArea field="19" type="button" dataOnly="0" labelOnly="1" outline="0" axis="axisRow" fieldPosition="0"/>
    </format>
    <format dxfId="2208">
      <pivotArea dataOnly="0" labelOnly="1" outline="0" axis="axisValues" fieldPosition="0"/>
    </format>
    <format dxfId="2207">
      <pivotArea dataOnly="0" labelOnly="1" outline="0" fieldPosition="0">
        <references count="1">
          <reference field="19" count="0"/>
        </references>
      </pivotArea>
    </format>
    <format dxfId="2206">
      <pivotArea dataOnly="0" labelOnly="1" grandRow="1" outline="0" fieldPosition="0"/>
    </format>
    <format dxfId="22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rowGrandTotals="0" colGrandTotals="0" itemPrintTitles="1" createdVersion="8" indent="0" compact="0" compactData="0" multipleFieldFilters="0">
  <location ref="F51:G56" firstHeaderRow="1" firstDataRow="1" firstDataCol="1"/>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8"/>
  </rowFields>
  <rowItems count="5">
    <i>
      <x v="2"/>
    </i>
    <i>
      <x/>
    </i>
    <i>
      <x v="1"/>
    </i>
    <i>
      <x v="4"/>
    </i>
    <i>
      <x v="3"/>
    </i>
  </rowItems>
  <colItems count="1">
    <i/>
  </colItems>
  <dataFields count="1">
    <dataField name="Sum of Sales Amount" fld="15" baseField="0" baseItem="0"/>
  </dataFields>
  <formats count="3">
    <format dxfId="2242">
      <pivotArea grandRow="1" outline="0" collapsedLevelsAreSubtotals="1" fieldPosition="0"/>
    </format>
    <format dxfId="2241">
      <pivotArea grandRow="1" outline="0" collapsedLevelsAreSubtotals="1" fieldPosition="0"/>
    </format>
    <format dxfId="224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F39:F40" firstHeaderRow="1" firstDataRow="1" firstDataCol="0"/>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Items count="1">
    <i/>
  </rowItems>
  <colItems count="1">
    <i/>
  </colItems>
  <dataFields count="1">
    <dataField name="Sum of Sales Amount" fld="15" baseField="0" baseItem="0" numFmtId="165"/>
  </dataFields>
  <formats count="3">
    <format dxfId="2245">
      <pivotArea outline="0" collapsedLevelsAreSubtotals="1" fieldPosition="0"/>
    </format>
    <format dxfId="2244">
      <pivotArea outline="0" collapsedLevelsAreSubtotals="1" fieldPosition="0"/>
    </format>
    <format dxfId="22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E13:E14" firstHeaderRow="1" firstDataRow="1" firstDataCol="0"/>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Items count="1">
    <i/>
  </rowItems>
  <colItems count="1">
    <i/>
  </colItems>
  <dataFields count="1">
    <dataField name="Average of Time in delivery(Days)"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
  <location ref="A80:B103" firstHeaderRow="1" firstDataRow="1" firstDataCol="1"/>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3">
        <item x="15"/>
        <item x="16"/>
        <item x="4"/>
        <item x="7"/>
        <item x="19"/>
        <item x="1"/>
        <item x="6"/>
        <item x="10"/>
        <item x="18"/>
        <item x="3"/>
        <item x="0"/>
        <item x="21"/>
        <item x="17"/>
        <item x="12"/>
        <item x="20"/>
        <item x="9"/>
        <item x="14"/>
        <item x="8"/>
        <item x="13"/>
        <item x="11"/>
        <item x="2"/>
        <item x="5"/>
        <item t="default"/>
      </items>
    </pivotField>
    <pivotField compact="0" outline="0" dragToRow="0" dragToCol="0" dragToPage="0" showAll="0" defaultSubtotal="0"/>
  </pivotFields>
  <rowFields count="1">
    <field x="2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les Amount" fld="15" baseField="0" baseItem="0"/>
  </dataFields>
  <conditionalFormats count="1">
    <conditionalFormat priority="1">
      <pivotAreas count="1">
        <pivotArea type="data" outline="0" collapsedLevelsAreSubtotals="1" fieldPosition="0">
          <references count="2">
            <reference field="4294967294" count="1" selected="0">
              <x v="0"/>
            </reference>
            <reference field="23" count="22" selected="0">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1">
  <location ref="D96:E99" firstHeaderRow="1" firstDataRow="1" firstDataCol="1" rowPageCount="1" colPageCount="1"/>
  <pivotFields count="25">
    <pivotField dataField="1"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axis="axisPage" compact="0" outline="0" multipleItemSelectionAllowed="1" showAll="0">
      <items count="19">
        <item x="10"/>
        <item x="3"/>
        <item x="11"/>
        <item x="5"/>
        <item x="1"/>
        <item x="12"/>
        <item x="6"/>
        <item x="7"/>
        <item x="4"/>
        <item x="8"/>
        <item x="16"/>
        <item x="14"/>
        <item x="2"/>
        <item x="17"/>
        <item x="13"/>
        <item x="9"/>
        <item x="15"/>
        <item x="0"/>
        <item t="default"/>
      </items>
    </pivotField>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dragToRow="0" dragToCol="0" dragToPage="0" showAll="0" defaultSubtotal="0"/>
  </pivotFields>
  <rowFields count="1">
    <field x="19"/>
  </rowFields>
  <rowItems count="3">
    <i>
      <x/>
    </i>
    <i>
      <x v="1"/>
    </i>
    <i t="grand">
      <x/>
    </i>
  </rowItems>
  <colItems count="1">
    <i/>
  </colItems>
  <pageFields count="1">
    <pageField fld="16" hier="-1"/>
  </pageFields>
  <dataFields count="1">
    <dataField name="Count of Order ID" fld="0" subtotal="count" baseField="0" baseItem="0"/>
  </dataFields>
  <chartFormats count="3">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9" count="1" selected="0">
            <x v="1"/>
          </reference>
        </references>
      </pivotArea>
    </chartFormat>
    <chartFormat chart="7" format="28">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7">
  <location ref="A70:B76" firstHeaderRow="1" firstDataRow="1" firstDataCol="1"/>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measureFilter="1"/>
    <pivotField compact="0" outline="0" dragToRow="0" dragToCol="0" dragToPage="0" showAll="0" defaultSubtotal="0"/>
  </pivotFields>
  <rowFields count="1">
    <field x="8"/>
  </rowFields>
  <rowItems count="6">
    <i>
      <x/>
    </i>
    <i>
      <x v="1"/>
    </i>
    <i>
      <x v="2"/>
    </i>
    <i>
      <x v="3"/>
    </i>
    <i>
      <x v="4"/>
    </i>
    <i t="grand">
      <x/>
    </i>
  </rowItems>
  <colItems count="1">
    <i/>
  </colItems>
  <dataFields count="1">
    <dataField name="Sum of Sales Amount" fld="15" baseField="0" baseItem="0"/>
  </dataField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53:A54" firstHeaderRow="1" firstDataRow="1" firstDataCol="0"/>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Items count="1">
    <i/>
  </rowItems>
  <colItems count="1">
    <i/>
  </colItems>
  <dataFields count="1">
    <dataField name="Sum of Effective Sales Am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E6:F10" firstHeaderRow="1" firstDataRow="1" firstDataCol="1"/>
  <pivotFields count="25">
    <pivotField dataField="1"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1">
    <field x="13"/>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7">
  <location ref="A40:C46" firstHeaderRow="0" firstDataRow="1" firstDataCol="1"/>
  <pivotFields count="25">
    <pivotField dataField="1"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s>
  <rowFields count="1">
    <field x="8"/>
  </rowFields>
  <rowItems count="6">
    <i>
      <x/>
    </i>
    <i>
      <x v="1"/>
    </i>
    <i>
      <x v="2"/>
    </i>
    <i>
      <x v="3"/>
    </i>
    <i>
      <x v="4"/>
    </i>
    <i t="grand">
      <x/>
    </i>
  </rowItems>
  <colFields count="1">
    <field x="-2"/>
  </colFields>
  <colItems count="2">
    <i>
      <x/>
    </i>
    <i i="1">
      <x v="1"/>
    </i>
  </colItems>
  <dataFields count="2">
    <dataField name="Sum of Cancelled Flag" fld="22" baseField="0" baseItem="0"/>
    <dataField name="Count of Order ID" fld="0" subtotal="count" baseField="0" baseItem="0"/>
  </dataFields>
  <chartFormats count="2">
    <chartFormat chart="6" format="20"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7">
  <location ref="F57:G59" firstHeaderRow="1" firstDataRow="1" firstDataCol="1"/>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23">
        <item x="15"/>
        <item x="16"/>
        <item x="4"/>
        <item x="7"/>
        <item x="19"/>
        <item x="1"/>
        <item x="6"/>
        <item x="10"/>
        <item x="18"/>
        <item x="3"/>
        <item x="0"/>
        <item x="21"/>
        <item x="17"/>
        <item x="12"/>
        <item x="20"/>
        <item x="9"/>
        <item x="14"/>
        <item x="8"/>
        <item x="13"/>
        <item x="11"/>
        <item x="2"/>
        <item x="5"/>
        <item t="default"/>
      </items>
    </pivotField>
    <pivotField compact="0" outline="0" dragToRow="0" dragToCol="0" dragToPage="0" showAll="0" defaultSubtotal="0"/>
  </pivotFields>
  <rowFields count="1">
    <field x="23"/>
  </rowFields>
  <rowItems count="2">
    <i>
      <x v="16"/>
    </i>
    <i t="grand">
      <x/>
    </i>
  </rowItems>
  <colItems count="1">
    <i/>
  </colItems>
  <dataFields count="1">
    <dataField name="Sum of Sales Amount" fld="15" baseField="0" baseItem="0"/>
  </dataFields>
  <chartFormats count="1">
    <chartFormat chart="6"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8">
  <location ref="D87:D88" firstHeaderRow="1" firstDataRow="1" firstDataCol="0" rowPageCount="1" colPageCount="1"/>
  <pivotFields count="25">
    <pivotField compact="0" outline="0" showAll="0"/>
    <pivotField axis="axisPage" compact="0" numFmtId="14" outline="0" multipleItemSelectionAllowed="1" showAll="0">
      <items count="15">
        <item x="0"/>
        <item x="1"/>
        <item x="2"/>
        <item x="3"/>
        <item x="4"/>
        <item x="5"/>
        <item x="6"/>
        <item x="7"/>
        <item x="8"/>
        <item x="9"/>
        <item x="10"/>
        <item x="11"/>
        <item x="12"/>
        <item x="13"/>
        <item t="default"/>
      </items>
    </pivotField>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Items count="1">
    <i/>
  </rowItems>
  <colItems count="1">
    <i/>
  </colItems>
  <pageFields count="1">
    <pageField fld="1" hier="-1"/>
  </pageFields>
  <dataFields count="1">
    <dataField name="Sum of Sales Amount" fld="15"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3">
  <location ref="A3:C34" firstHeaderRow="1" firstDataRow="1" firstDataCol="2"/>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items count="6">
        <item x="3"/>
        <item x="0"/>
        <item x="1"/>
        <item x="4"/>
        <item x="2"/>
        <item t="default"/>
      </items>
    </pivotField>
    <pivotField compact="0" outline="0" showAll="0">
      <items count="4">
        <item x="0"/>
        <item x="1"/>
        <item x="2"/>
        <item t="default"/>
      </items>
    </pivotField>
    <pivotField compact="0" outline="0" showAll="0"/>
    <pivotField dataField="1" compact="0" outline="0" showAll="0"/>
    <pivotField compact="0" outline="0" showAll="0"/>
    <pivotField axis="axisRow" compact="0" outline="0" showAll="0">
      <items count="7">
        <item x="4"/>
        <item x="3"/>
        <item x="2"/>
        <item x="0"/>
        <item x="1"/>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rowFields count="2">
    <field x="8"/>
    <field x="17"/>
  </rowFields>
  <rowItems count="31">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x v="4"/>
      <x/>
    </i>
    <i r="1">
      <x v="1"/>
    </i>
    <i r="1">
      <x v="2"/>
    </i>
    <i r="1">
      <x v="3"/>
    </i>
    <i r="1">
      <x v="4"/>
    </i>
    <i t="default">
      <x v="4"/>
    </i>
    <i t="grand">
      <x/>
    </i>
  </rowItems>
  <colItems count="1">
    <i/>
  </colItems>
  <dataFields count="1">
    <dataField name="Sum of Sales Amount" fld="15" baseField="0" baseItem="0"/>
  </dataFields>
  <chartFormats count="4">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E21" firstHeaderRow="0" firstDataRow="0" firstDataCol="0" rowPageCount="2" colPageCount="1"/>
  <pivotFields count="25">
    <pivotField compact="0" outline="0" showAll="0"/>
    <pivotField compact="0" numFmtId="14" outline="0" showAll="0"/>
    <pivotField compact="0" outline="0" showAll="0">
      <items count="13">
        <item x="4"/>
        <item x="1"/>
        <item x="11"/>
        <item x="7"/>
        <item x="3"/>
        <item x="8"/>
        <item x="6"/>
        <item x="5"/>
        <item x="9"/>
        <item x="10"/>
        <item x="2"/>
        <item x="0"/>
        <item t="default"/>
      </items>
    </pivotField>
    <pivotField compact="0" outline="0" showAll="0"/>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axis="axisPage"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axis="axisPage" compact="0" outline="0" showAll="0">
      <items count="7">
        <item x="4"/>
        <item x="3"/>
        <item x="2"/>
        <item x="0"/>
        <item x="1"/>
        <item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s>
  <pageFields count="2">
    <pageField fld="17" hier="-1"/>
    <pageField fld="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9"/>
    <pivotTable tabId="5" name="PivotTable1"/>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20"/>
    <pivotTable tabId="5" name="PivotTable21"/>
    <pivotTable tabId="5" name="PivotTable22"/>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livery_Status" sourceName="Delivery Status">
  <pivotTables>
    <pivotTable tabId="5" name="PivotTable19"/>
    <pivotTable tabId="5" name="PivotTable1"/>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20"/>
    <pivotTable tabId="5" name="PivotTable21"/>
    <pivotTable tabId="5" name="PivotTable22"/>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5" name="PivotTable19"/>
    <pivotTable tabId="5" name="PivotTable1"/>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20"/>
    <pivotTable tabId="5" name="PivotTable21"/>
    <pivotTable tabId="5" name="PivotTable22"/>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19"/>
    <pivotTable tabId="5" name="PivotTable1"/>
    <pivotTable tabId="5" name="PivotTable17"/>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20"/>
    <pivotTable tabId="5" name="PivotTable21"/>
    <pivotTable tabId="5" name="PivotTable22"/>
  </pivotTables>
  <data>
    <tabular pivotCacheId="1">
      <items count="12">
        <i x="4" s="1"/>
        <i x="1" s="1"/>
        <i x="11" s="1"/>
        <i x="7" s="1"/>
        <i x="3" s="1"/>
        <i x="8" s="1"/>
        <i x="6" s="1"/>
        <i x="5" s="1"/>
        <i x="9" s="1"/>
        <i x="10"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style="SlicerStyleLight6" rowHeight="241300"/>
  <slicer name="Delivery Status" cache="Slicer_Delivery_Status" caption="Delivery Status" style="SlicerStyleLight6" rowHeight="241300"/>
  <slicer name="Payment Method" cache="Slicer_Payment_Method" caption="Payment Method" startItem="1" style="SlicerStyleLight6" rowHeight="241300"/>
  <slicer name="Month" cache="Slicer_Month" caption="Month" columnCount="3" style="SlicerStyleLight6" rowHeight="241300"/>
</slicers>
</file>

<file path=xl/tables/table1.xml><?xml version="1.0" encoding="utf-8"?>
<table xmlns="http://schemas.openxmlformats.org/spreadsheetml/2006/main" id="1" name="Table1" displayName="Table1" ref="A1:X101" totalsRowShown="0">
  <autoFilter ref="A1:X101"/>
  <tableColumns count="24">
    <tableColumn id="1" name="Order ID"/>
    <tableColumn id="2" name="Order Date" dataDxfId="2204"/>
    <tableColumn id="3" name="Month">
      <calculatedColumnFormula>TEXT(B2,"mmm")</calculatedColumnFormula>
    </tableColumn>
    <tableColumn id="4" name="Year">
      <calculatedColumnFormula>TEXT(B2,"yyy")</calculatedColumnFormula>
    </tableColumn>
    <tableColumn id="5" name="Delivery Date" dataDxfId="2203"/>
    <tableColumn id="6" name="Cancel Date" dataDxfId="2202"/>
    <tableColumn id="7" name="Customer ID"/>
    <tableColumn id="8" name="Product ID"/>
    <tableColumn id="9" name="Region"/>
    <tableColumn id="10" name="Sale Price/Unit"/>
    <tableColumn id="11" name="Quantity"/>
    <tableColumn id="12" name="Total Amount"/>
    <tableColumn id="13" name="Payment Method"/>
    <tableColumn id="14" name="Delivery Status"/>
    <tableColumn id="15" name="Fulfillment Partner"/>
    <tableColumn id="16" name="Sales Amount">
      <calculatedColumnFormula>K2*J2</calculatedColumnFormula>
    </tableColumn>
    <tableColumn id="17" name="Time in delivery(Days)">
      <calculatedColumnFormula>IF(N2="Delivered",E2-B2,"")</calculatedColumnFormula>
    </tableColumn>
    <tableColumn id="18" name="Product Category" dataDxfId="2201">
      <calculatedColumnFormula array="1">_xlfn.XLOOKUP(Table1[[#This Row],[Product ID]],Table2[[#All],[Product ID]],Table2[[#All],[Category]])</calculatedColumnFormula>
    </tableColumn>
    <tableColumn id="19" name="Customer Name" dataDxfId="2200">
      <calculatedColumnFormula array="1">_xlfn.XLOOKUP(Table1[[#This Row],[Customer ID]],Table4[[#All],[Customer ID]],Table4[[#All],[Customer Name]])</calculatedColumnFormula>
    </tableColumn>
    <tableColumn id="20" name="Delivery  Performance">
      <calculatedColumnFormula>IF(E2-B2&lt;=2,"Fast","Slow")</calculatedColumnFormula>
    </tableColumn>
    <tableColumn id="21" name="Date of Delivery" dataDxfId="2199">
      <calculatedColumnFormula>IFERROR(IF(E2="","Cancellations",E2),0)</calculatedColumnFormula>
    </tableColumn>
    <tableColumn id="22" name="Order status">
      <calculatedColumnFormula>IF(OR(F2&lt;&gt;"",N2="Cancelled"),"Cancelled","Delivered")</calculatedColumnFormula>
    </tableColumn>
    <tableColumn id="23" name="Cancelled Flag">
      <calculatedColumnFormula>IF(V2="Cancelled",1,0)</calculatedColumnFormula>
    </tableColumn>
    <tableColumn id="24" name="Product Name ">
      <calculatedColumnFormula>VLOOKUP(H2,ProductMaster!$A$1:$E$23,2,0)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E23" totalsRowShown="0" headerRowDxfId="2198" dataDxfId="2196" headerRowBorderDxfId="2197" tableBorderDxfId="2195" totalsRowBorderDxfId="2194">
  <autoFilter ref="A1:E23"/>
  <tableColumns count="5">
    <tableColumn id="1" name="Product ID" dataDxfId="2193"/>
    <tableColumn id="2" name="Product Name" dataDxfId="2192"/>
    <tableColumn id="3" name="Category" dataDxfId="2191"/>
    <tableColumn id="4" name="Cost Price" dataDxfId="2190"/>
    <tableColumn id="5" name="Description" dataDxfId="2189"/>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B6" totalsRowShown="0" headerRowDxfId="2188" headerRowBorderDxfId="2187" tableBorderDxfId="2186" totalsRowBorderDxfId="2185">
  <autoFilter ref="A1:B6"/>
  <tableColumns count="2">
    <tableColumn id="1" name="Region" dataDxfId="2184"/>
    <tableColumn id="2" name="Sales Target" dataDxfId="2183"/>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E50" totalsRowShown="0" headerRowDxfId="2182" dataDxfId="2180" headerRowBorderDxfId="2181" tableBorderDxfId="2179" totalsRowBorderDxfId="2178">
  <autoFilter ref="A1:E50"/>
  <tableColumns count="5">
    <tableColumn id="1" name="Customer ID" dataDxfId="2177"/>
    <tableColumn id="2" name="Customer Name" dataDxfId="2176"/>
    <tableColumn id="3" name="Customer Type" dataDxfId="2175"/>
    <tableColumn id="4" name="City" dataDxfId="2174"/>
    <tableColumn id="5" name="State" dataDxfId="217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03"/>
  <sheetViews>
    <sheetView zoomScale="86" zoomScaleNormal="86" workbookViewId="0">
      <selection activeCell="G68" sqref="G68"/>
    </sheetView>
  </sheetViews>
  <sheetFormatPr defaultColWidth="23.81640625" defaultRowHeight="14.5" x14ac:dyDescent="0.35"/>
  <cols>
    <col min="1" max="1" width="16.1796875" customWidth="1"/>
    <col min="2" max="2" width="18.81640625" customWidth="1"/>
    <col min="3" max="3" width="15.81640625" customWidth="1"/>
    <col min="4" max="4" width="22.54296875" customWidth="1"/>
    <col min="5" max="5" width="15.81640625" customWidth="1"/>
    <col min="6" max="6" width="6.81640625" customWidth="1"/>
    <col min="7" max="7" width="15.81640625" customWidth="1"/>
    <col min="8" max="8" width="5.7265625" bestFit="1" customWidth="1"/>
    <col min="9" max="9" width="19.453125" customWidth="1"/>
  </cols>
  <sheetData>
    <row r="2" spans="1:6" ht="19" customHeight="1" x14ac:dyDescent="0.35">
      <c r="A2" s="44" t="s">
        <v>0</v>
      </c>
      <c r="B2" s="44"/>
      <c r="C2" s="44"/>
    </row>
    <row r="3" spans="1:6" x14ac:dyDescent="0.35">
      <c r="A3" s="17" t="s">
        <v>1</v>
      </c>
      <c r="B3" s="17" t="s">
        <v>2</v>
      </c>
      <c r="C3" t="s">
        <v>3</v>
      </c>
    </row>
    <row r="4" spans="1:6" x14ac:dyDescent="0.35">
      <c r="A4" t="s">
        <v>4</v>
      </c>
      <c r="B4" t="s">
        <v>5</v>
      </c>
      <c r="C4" s="18">
        <v>84</v>
      </c>
    </row>
    <row r="5" spans="1:6" x14ac:dyDescent="0.35">
      <c r="B5" t="s">
        <v>6</v>
      </c>
      <c r="C5" s="18">
        <v>2662</v>
      </c>
      <c r="E5" s="46" t="s">
        <v>7</v>
      </c>
      <c r="F5" s="46"/>
    </row>
    <row r="6" spans="1:6" x14ac:dyDescent="0.35">
      <c r="B6" t="s">
        <v>8</v>
      </c>
      <c r="C6" s="18">
        <v>210</v>
      </c>
      <c r="E6" s="17" t="s">
        <v>9</v>
      </c>
      <c r="F6" t="s">
        <v>10</v>
      </c>
    </row>
    <row r="7" spans="1:6" x14ac:dyDescent="0.35">
      <c r="B7" t="s">
        <v>11</v>
      </c>
      <c r="C7" s="18">
        <v>2063</v>
      </c>
      <c r="E7" t="s">
        <v>12</v>
      </c>
      <c r="F7" s="18">
        <v>30</v>
      </c>
    </row>
    <row r="8" spans="1:6" x14ac:dyDescent="0.35">
      <c r="B8" t="s">
        <v>13</v>
      </c>
      <c r="C8" s="18">
        <v>437</v>
      </c>
      <c r="E8" t="s">
        <v>14</v>
      </c>
      <c r="F8" s="18">
        <v>34</v>
      </c>
    </row>
    <row r="9" spans="1:6" x14ac:dyDescent="0.35">
      <c r="A9" t="s">
        <v>15</v>
      </c>
      <c r="C9" s="18">
        <v>5456</v>
      </c>
      <c r="E9" t="s">
        <v>16</v>
      </c>
      <c r="F9" s="18">
        <v>36</v>
      </c>
    </row>
    <row r="10" spans="1:6" x14ac:dyDescent="0.35">
      <c r="A10" t="s">
        <v>17</v>
      </c>
      <c r="B10" t="s">
        <v>5</v>
      </c>
      <c r="C10" s="18">
        <v>394</v>
      </c>
      <c r="E10" t="s">
        <v>18</v>
      </c>
      <c r="F10" s="18">
        <v>100</v>
      </c>
    </row>
    <row r="11" spans="1:6" x14ac:dyDescent="0.35">
      <c r="B11" t="s">
        <v>6</v>
      </c>
      <c r="C11" s="18">
        <v>365</v>
      </c>
    </row>
    <row r="12" spans="1:6" x14ac:dyDescent="0.35">
      <c r="B12" t="s">
        <v>8</v>
      </c>
      <c r="C12" s="18">
        <v>711</v>
      </c>
      <c r="E12" s="47" t="s">
        <v>19</v>
      </c>
      <c r="F12" s="47"/>
    </row>
    <row r="13" spans="1:6" x14ac:dyDescent="0.35">
      <c r="B13" t="s">
        <v>11</v>
      </c>
      <c r="C13" s="18">
        <v>741</v>
      </c>
      <c r="E13" t="s">
        <v>20</v>
      </c>
    </row>
    <row r="14" spans="1:6" x14ac:dyDescent="0.35">
      <c r="B14" t="s">
        <v>13</v>
      </c>
      <c r="C14" s="18">
        <v>1424</v>
      </c>
      <c r="E14" s="18">
        <v>12.323529411764707</v>
      </c>
    </row>
    <row r="15" spans="1:6" x14ac:dyDescent="0.35">
      <c r="A15" t="s">
        <v>21</v>
      </c>
      <c r="C15" s="18">
        <v>3635</v>
      </c>
    </row>
    <row r="16" spans="1:6" x14ac:dyDescent="0.35">
      <c r="A16" t="s">
        <v>22</v>
      </c>
      <c r="B16" t="s">
        <v>5</v>
      </c>
      <c r="C16" s="18">
        <v>464</v>
      </c>
    </row>
    <row r="17" spans="1:6" x14ac:dyDescent="0.35">
      <c r="B17" t="s">
        <v>6</v>
      </c>
      <c r="C17" s="18">
        <v>6522</v>
      </c>
      <c r="E17" s="44" t="s">
        <v>23</v>
      </c>
      <c r="F17" s="44"/>
    </row>
    <row r="18" spans="1:6" x14ac:dyDescent="0.35">
      <c r="B18" t="s">
        <v>8</v>
      </c>
      <c r="C18" s="18">
        <v>788</v>
      </c>
      <c r="E18" s="17" t="s">
        <v>2</v>
      </c>
      <c r="F18" t="s">
        <v>24</v>
      </c>
    </row>
    <row r="19" spans="1:6" x14ac:dyDescent="0.35">
      <c r="B19" t="s">
        <v>11</v>
      </c>
      <c r="C19" s="18">
        <v>2131</v>
      </c>
      <c r="E19" s="17" t="s">
        <v>25</v>
      </c>
      <c r="F19" t="s">
        <v>24</v>
      </c>
    </row>
    <row r="20" spans="1:6" x14ac:dyDescent="0.35">
      <c r="B20" t="s">
        <v>13</v>
      </c>
      <c r="C20" s="18">
        <v>586</v>
      </c>
    </row>
    <row r="21" spans="1:6" x14ac:dyDescent="0.35">
      <c r="A21" t="s">
        <v>26</v>
      </c>
      <c r="C21" s="18">
        <v>10491</v>
      </c>
    </row>
    <row r="22" spans="1:6" x14ac:dyDescent="0.35">
      <c r="A22" t="s">
        <v>27</v>
      </c>
      <c r="B22" t="s">
        <v>5</v>
      </c>
      <c r="C22" s="18">
        <v>423</v>
      </c>
    </row>
    <row r="23" spans="1:6" x14ac:dyDescent="0.35">
      <c r="B23" t="s">
        <v>6</v>
      </c>
      <c r="C23" s="18">
        <v>3938</v>
      </c>
    </row>
    <row r="24" spans="1:6" x14ac:dyDescent="0.35">
      <c r="B24" t="s">
        <v>8</v>
      </c>
      <c r="C24" s="18">
        <v>1032</v>
      </c>
    </row>
    <row r="25" spans="1:6" x14ac:dyDescent="0.35">
      <c r="B25" t="s">
        <v>11</v>
      </c>
      <c r="C25" s="18">
        <v>1881</v>
      </c>
    </row>
    <row r="26" spans="1:6" x14ac:dyDescent="0.35">
      <c r="B26" t="s">
        <v>13</v>
      </c>
      <c r="C26" s="18">
        <v>43</v>
      </c>
    </row>
    <row r="27" spans="1:6" x14ac:dyDescent="0.35">
      <c r="A27" t="s">
        <v>28</v>
      </c>
      <c r="C27" s="18">
        <v>7317</v>
      </c>
    </row>
    <row r="28" spans="1:6" x14ac:dyDescent="0.35">
      <c r="A28" t="s">
        <v>29</v>
      </c>
      <c r="B28" t="s">
        <v>5</v>
      </c>
      <c r="C28" s="18">
        <v>350</v>
      </c>
    </row>
    <row r="29" spans="1:6" x14ac:dyDescent="0.35">
      <c r="B29" t="s">
        <v>6</v>
      </c>
      <c r="C29" s="18">
        <v>1722</v>
      </c>
    </row>
    <row r="30" spans="1:6" x14ac:dyDescent="0.35">
      <c r="B30" t="s">
        <v>8</v>
      </c>
      <c r="C30" s="18">
        <v>1131</v>
      </c>
    </row>
    <row r="31" spans="1:6" x14ac:dyDescent="0.35">
      <c r="B31" t="s">
        <v>11</v>
      </c>
      <c r="C31" s="18">
        <v>4135</v>
      </c>
    </row>
    <row r="32" spans="1:6" x14ac:dyDescent="0.35">
      <c r="B32" t="s">
        <v>13</v>
      </c>
      <c r="C32" s="18">
        <v>1021</v>
      </c>
    </row>
    <row r="33" spans="1:7" x14ac:dyDescent="0.35">
      <c r="A33" t="s">
        <v>30</v>
      </c>
      <c r="C33" s="18">
        <v>8359</v>
      </c>
    </row>
    <row r="34" spans="1:7" x14ac:dyDescent="0.35">
      <c r="A34" t="s">
        <v>18</v>
      </c>
      <c r="C34" s="18">
        <v>35258</v>
      </c>
    </row>
    <row r="36" spans="1:7" ht="23.5" x14ac:dyDescent="0.55000000000000004">
      <c r="F36" s="32" t="s">
        <v>31</v>
      </c>
    </row>
    <row r="38" spans="1:7" x14ac:dyDescent="0.35">
      <c r="F38" s="33" t="s">
        <v>32</v>
      </c>
    </row>
    <row r="39" spans="1:7" x14ac:dyDescent="0.35">
      <c r="A39" s="44" t="s">
        <v>33</v>
      </c>
      <c r="B39" s="44"/>
      <c r="C39" s="44"/>
      <c r="F39" t="s">
        <v>3</v>
      </c>
    </row>
    <row r="40" spans="1:7" x14ac:dyDescent="0.35">
      <c r="A40" s="17" t="s">
        <v>1</v>
      </c>
      <c r="B40" t="s">
        <v>34</v>
      </c>
      <c r="C40" t="s">
        <v>10</v>
      </c>
      <c r="F40" s="23">
        <v>35258</v>
      </c>
    </row>
    <row r="41" spans="1:7" x14ac:dyDescent="0.35">
      <c r="A41" t="s">
        <v>4</v>
      </c>
      <c r="B41" s="18">
        <v>5</v>
      </c>
      <c r="C41" s="18">
        <v>14</v>
      </c>
    </row>
    <row r="42" spans="1:7" x14ac:dyDescent="0.35">
      <c r="A42" t="s">
        <v>17</v>
      </c>
      <c r="B42" s="18">
        <v>3</v>
      </c>
      <c r="C42" s="18">
        <v>18</v>
      </c>
      <c r="F42" s="45" t="s">
        <v>35</v>
      </c>
      <c r="G42" s="45"/>
    </row>
    <row r="43" spans="1:7" x14ac:dyDescent="0.35">
      <c r="A43" t="s">
        <v>22</v>
      </c>
      <c r="B43" s="18">
        <v>10</v>
      </c>
      <c r="C43" s="18">
        <v>25</v>
      </c>
      <c r="F43" s="27" t="s">
        <v>36</v>
      </c>
      <c r="G43" s="26" t="s">
        <v>24</v>
      </c>
    </row>
    <row r="44" spans="1:7" x14ac:dyDescent="0.35">
      <c r="A44" t="s">
        <v>27</v>
      </c>
      <c r="B44" s="18">
        <v>4</v>
      </c>
      <c r="C44" s="18">
        <v>20</v>
      </c>
      <c r="F44" s="26"/>
      <c r="G44" s="26"/>
    </row>
    <row r="45" spans="1:7" x14ac:dyDescent="0.35">
      <c r="A45" t="s">
        <v>29</v>
      </c>
      <c r="B45" s="18">
        <v>8</v>
      </c>
      <c r="C45" s="18">
        <v>23</v>
      </c>
      <c r="F45" s="28" t="s">
        <v>37</v>
      </c>
      <c r="G45" s="26" t="s">
        <v>10</v>
      </c>
    </row>
    <row r="46" spans="1:7" ht="15" thickBot="1" x14ac:dyDescent="0.4">
      <c r="A46" t="s">
        <v>18</v>
      </c>
      <c r="B46" s="18">
        <v>30</v>
      </c>
      <c r="C46" s="18">
        <v>100</v>
      </c>
      <c r="F46" s="26" t="s">
        <v>38</v>
      </c>
      <c r="G46" s="29">
        <v>0.77</v>
      </c>
    </row>
    <row r="47" spans="1:7" ht="15" thickBot="1" x14ac:dyDescent="0.4">
      <c r="B47" s="19"/>
      <c r="F47" s="26" t="s">
        <v>39</v>
      </c>
      <c r="G47" s="29">
        <v>0.23</v>
      </c>
    </row>
    <row r="48" spans="1:7" x14ac:dyDescent="0.35">
      <c r="F48" s="26" t="s">
        <v>18</v>
      </c>
      <c r="G48" s="29">
        <v>1</v>
      </c>
    </row>
    <row r="50" spans="1:8" x14ac:dyDescent="0.35">
      <c r="F50" s="45" t="s">
        <v>40</v>
      </c>
      <c r="G50" s="45"/>
    </row>
    <row r="51" spans="1:8" ht="43.5" x14ac:dyDescent="0.35">
      <c r="F51" s="17" t="s">
        <v>1</v>
      </c>
      <c r="G51" t="s">
        <v>3</v>
      </c>
      <c r="H51" s="24" t="str">
        <f>$F$52&amp;CHAR(10)&amp;$F$53&amp;CHAR(10)&amp;$F$54</f>
        <v>North
West
South</v>
      </c>
    </row>
    <row r="52" spans="1:8" x14ac:dyDescent="0.35">
      <c r="A52" s="44" t="s">
        <v>41</v>
      </c>
      <c r="B52" s="44"/>
      <c r="C52" s="44"/>
      <c r="D52" s="44"/>
      <c r="F52" t="s">
        <v>22</v>
      </c>
      <c r="G52" s="18">
        <v>10491</v>
      </c>
    </row>
    <row r="53" spans="1:8" x14ac:dyDescent="0.35">
      <c r="A53" t="s">
        <v>42</v>
      </c>
      <c r="F53" t="s">
        <v>29</v>
      </c>
      <c r="G53" s="18">
        <v>8359</v>
      </c>
    </row>
    <row r="54" spans="1:8" x14ac:dyDescent="0.35">
      <c r="A54" s="18">
        <v>35258</v>
      </c>
      <c r="F54" t="s">
        <v>27</v>
      </c>
      <c r="G54" s="18">
        <v>7317</v>
      </c>
    </row>
    <row r="55" spans="1:8" x14ac:dyDescent="0.35">
      <c r="F55" t="s">
        <v>4</v>
      </c>
      <c r="G55" s="18">
        <v>5456</v>
      </c>
    </row>
    <row r="56" spans="1:8" x14ac:dyDescent="0.35">
      <c r="F56" t="s">
        <v>17</v>
      </c>
      <c r="G56" s="18">
        <v>3635</v>
      </c>
    </row>
    <row r="57" spans="1:8" x14ac:dyDescent="0.35">
      <c r="F57" s="17" t="s">
        <v>43</v>
      </c>
      <c r="G57" t="s">
        <v>3</v>
      </c>
    </row>
    <row r="58" spans="1:8" x14ac:dyDescent="0.35">
      <c r="F58" t="s">
        <v>44</v>
      </c>
      <c r="G58" s="18">
        <v>9644</v>
      </c>
    </row>
    <row r="59" spans="1:8" x14ac:dyDescent="0.35">
      <c r="F59" t="s">
        <v>18</v>
      </c>
      <c r="G59" s="18">
        <v>9644</v>
      </c>
    </row>
    <row r="69" spans="1:4" x14ac:dyDescent="0.35">
      <c r="A69" s="44" t="s">
        <v>45</v>
      </c>
      <c r="B69" s="44"/>
      <c r="C69" s="44"/>
      <c r="D69" s="44"/>
    </row>
    <row r="70" spans="1:4" x14ac:dyDescent="0.35">
      <c r="A70" s="17" t="s">
        <v>1</v>
      </c>
      <c r="B70" t="s">
        <v>3</v>
      </c>
    </row>
    <row r="71" spans="1:4" x14ac:dyDescent="0.35">
      <c r="A71" t="s">
        <v>4</v>
      </c>
      <c r="B71" s="18">
        <v>5456</v>
      </c>
    </row>
    <row r="72" spans="1:4" x14ac:dyDescent="0.35">
      <c r="A72" t="s">
        <v>17</v>
      </c>
      <c r="B72" s="18">
        <v>3635</v>
      </c>
    </row>
    <row r="73" spans="1:4" x14ac:dyDescent="0.35">
      <c r="A73" t="s">
        <v>22</v>
      </c>
      <c r="B73" s="18">
        <v>10491</v>
      </c>
    </row>
    <row r="74" spans="1:4" x14ac:dyDescent="0.35">
      <c r="A74" t="s">
        <v>27</v>
      </c>
      <c r="B74" s="18">
        <v>7317</v>
      </c>
    </row>
    <row r="75" spans="1:4" x14ac:dyDescent="0.35">
      <c r="A75" t="s">
        <v>29</v>
      </c>
      <c r="B75" s="18">
        <v>8359</v>
      </c>
    </row>
    <row r="76" spans="1:4" x14ac:dyDescent="0.35">
      <c r="A76" t="s">
        <v>18</v>
      </c>
      <c r="B76" s="18">
        <v>35258</v>
      </c>
    </row>
    <row r="79" spans="1:4" x14ac:dyDescent="0.35">
      <c r="A79" s="44" t="s">
        <v>46</v>
      </c>
      <c r="B79" s="44"/>
      <c r="C79" s="44"/>
    </row>
    <row r="80" spans="1:4" x14ac:dyDescent="0.35">
      <c r="A80" s="17" t="s">
        <v>43</v>
      </c>
      <c r="B80" t="s">
        <v>3</v>
      </c>
    </row>
    <row r="81" spans="1:6" x14ac:dyDescent="0.35">
      <c r="A81" t="s">
        <v>47</v>
      </c>
      <c r="B81" s="18">
        <v>669</v>
      </c>
    </row>
    <row r="82" spans="1:6" x14ac:dyDescent="0.35">
      <c r="A82" t="s">
        <v>48</v>
      </c>
      <c r="B82" s="18">
        <v>518</v>
      </c>
    </row>
    <row r="83" spans="1:6" x14ac:dyDescent="0.35">
      <c r="A83" t="s">
        <v>49</v>
      </c>
      <c r="B83" s="18">
        <v>731</v>
      </c>
    </row>
    <row r="84" spans="1:6" x14ac:dyDescent="0.35">
      <c r="A84" t="s">
        <v>50</v>
      </c>
      <c r="B84" s="18">
        <v>2496</v>
      </c>
      <c r="D84" s="44" t="s">
        <v>51</v>
      </c>
      <c r="E84" s="44"/>
      <c r="F84" s="44"/>
    </row>
    <row r="85" spans="1:6" x14ac:dyDescent="0.35">
      <c r="A85" t="s">
        <v>52</v>
      </c>
      <c r="B85" s="18">
        <v>5151</v>
      </c>
      <c r="D85" s="17" t="s">
        <v>53</v>
      </c>
      <c r="E85" t="s">
        <v>24</v>
      </c>
    </row>
    <row r="86" spans="1:6" x14ac:dyDescent="0.35">
      <c r="A86" t="s">
        <v>54</v>
      </c>
      <c r="B86" s="18">
        <v>1530</v>
      </c>
    </row>
    <row r="87" spans="1:6" x14ac:dyDescent="0.35">
      <c r="A87" t="s">
        <v>55</v>
      </c>
      <c r="B87" s="18">
        <v>995</v>
      </c>
      <c r="D87" t="s">
        <v>3</v>
      </c>
    </row>
    <row r="88" spans="1:6" x14ac:dyDescent="0.35">
      <c r="A88" t="s">
        <v>56</v>
      </c>
      <c r="B88" s="18">
        <v>1392</v>
      </c>
      <c r="D88" s="18">
        <v>35258</v>
      </c>
    </row>
    <row r="89" spans="1:6" x14ac:dyDescent="0.35">
      <c r="A89" t="s">
        <v>57</v>
      </c>
      <c r="B89" s="18">
        <v>1212</v>
      </c>
    </row>
    <row r="90" spans="1:6" x14ac:dyDescent="0.35">
      <c r="A90" t="s">
        <v>58</v>
      </c>
      <c r="B90" s="18">
        <v>581</v>
      </c>
    </row>
    <row r="91" spans="1:6" x14ac:dyDescent="0.35">
      <c r="A91" t="s">
        <v>59</v>
      </c>
      <c r="B91" s="18">
        <v>320</v>
      </c>
    </row>
    <row r="92" spans="1:6" x14ac:dyDescent="0.35">
      <c r="A92" t="s">
        <v>60</v>
      </c>
      <c r="B92" s="18">
        <v>1124</v>
      </c>
    </row>
    <row r="93" spans="1:6" x14ac:dyDescent="0.35">
      <c r="A93" t="s">
        <v>61</v>
      </c>
      <c r="B93" s="18">
        <v>165</v>
      </c>
      <c r="D93" s="31" t="s">
        <v>62</v>
      </c>
      <c r="E93" s="30"/>
    </row>
    <row r="94" spans="1:6" x14ac:dyDescent="0.35">
      <c r="A94" t="s">
        <v>63</v>
      </c>
      <c r="B94" s="18">
        <v>232</v>
      </c>
      <c r="D94" s="17" t="s">
        <v>64</v>
      </c>
      <c r="E94" t="s">
        <v>24</v>
      </c>
    </row>
    <row r="95" spans="1:6" x14ac:dyDescent="0.35">
      <c r="A95" t="s">
        <v>65</v>
      </c>
      <c r="B95" s="18">
        <v>188</v>
      </c>
    </row>
    <row r="96" spans="1:6" x14ac:dyDescent="0.35">
      <c r="A96" t="s">
        <v>66</v>
      </c>
      <c r="B96" s="18">
        <v>1239</v>
      </c>
      <c r="D96" s="17" t="s">
        <v>37</v>
      </c>
      <c r="E96" t="s">
        <v>10</v>
      </c>
    </row>
    <row r="97" spans="1:5" x14ac:dyDescent="0.35">
      <c r="A97" t="s">
        <v>44</v>
      </c>
      <c r="B97" s="18">
        <v>9644</v>
      </c>
      <c r="D97" t="s">
        <v>38</v>
      </c>
      <c r="E97" s="18">
        <v>77</v>
      </c>
    </row>
    <row r="98" spans="1:5" x14ac:dyDescent="0.35">
      <c r="A98" t="s">
        <v>67</v>
      </c>
      <c r="B98" s="18">
        <v>2230</v>
      </c>
      <c r="D98" t="s">
        <v>39</v>
      </c>
      <c r="E98" s="18">
        <v>23</v>
      </c>
    </row>
    <row r="99" spans="1:5" x14ac:dyDescent="0.35">
      <c r="A99" t="s">
        <v>68</v>
      </c>
      <c r="B99" s="18">
        <v>1318</v>
      </c>
      <c r="D99" t="s">
        <v>18</v>
      </c>
      <c r="E99" s="18">
        <v>100</v>
      </c>
    </row>
    <row r="100" spans="1:5" x14ac:dyDescent="0.35">
      <c r="A100" t="s">
        <v>69</v>
      </c>
      <c r="B100" s="18">
        <v>539</v>
      </c>
    </row>
    <row r="101" spans="1:5" x14ac:dyDescent="0.35">
      <c r="A101" t="s">
        <v>70</v>
      </c>
      <c r="B101" s="18">
        <v>2144</v>
      </c>
    </row>
    <row r="102" spans="1:5" x14ac:dyDescent="0.35">
      <c r="A102" t="s">
        <v>71</v>
      </c>
      <c r="B102" s="18">
        <v>840</v>
      </c>
    </row>
    <row r="103" spans="1:5" x14ac:dyDescent="0.35">
      <c r="A103" t="s">
        <v>18</v>
      </c>
      <c r="B103" s="18">
        <v>35258</v>
      </c>
    </row>
  </sheetData>
  <mergeCells count="11">
    <mergeCell ref="A2:C2"/>
    <mergeCell ref="E5:F5"/>
    <mergeCell ref="E12:F12"/>
    <mergeCell ref="E17:F17"/>
    <mergeCell ref="A79:C79"/>
    <mergeCell ref="D84:F84"/>
    <mergeCell ref="A39:C39"/>
    <mergeCell ref="A52:D52"/>
    <mergeCell ref="F42:G42"/>
    <mergeCell ref="F50:G50"/>
    <mergeCell ref="A69:D69"/>
  </mergeCells>
  <conditionalFormatting pivot="1" sqref="B81:B102">
    <cfRule type="dataBar" priority="1">
      <dataBar>
        <cfvo type="min"/>
        <cfvo type="max"/>
        <color rgb="FF008AEF"/>
      </dataBar>
      <extLst>
        <ext xmlns:x14="http://schemas.microsoft.com/office/spreadsheetml/2009/9/main" uri="{B025F937-C7B1-47D3-B67F-A62EFF666E3E}">
          <x14:id>{F4D6B67A-0BAE-40C9-A6B9-F3A14EFE43CE}</x14:id>
        </ext>
      </extLst>
    </cfRule>
  </conditionalFormatting>
  <pageMargins left="0.7" right="0.7" top="0.75" bottom="0.75" header="0.3" footer="0.3"/>
  <pageSetup paperSize="9" orientation="portrait" r:id="rId15"/>
  <extLst>
    <ext xmlns:x14="http://schemas.microsoft.com/office/spreadsheetml/2009/9/main" uri="{78C0D931-6437-407d-A8EE-F0AAD7539E65}">
      <x14:conditionalFormattings>
        <x14:conditionalFormatting xmlns:xm="http://schemas.microsoft.com/office/excel/2006/main" pivot="1">
          <x14:cfRule type="dataBar" id="{F4D6B67A-0BAE-40C9-A6B9-F3A14EFE43CE}">
            <x14:dataBar minLength="0" maxLength="100" border="1" negativeBarBorderColorSameAsPositive="0">
              <x14:cfvo type="autoMin"/>
              <x14:cfvo type="autoMax"/>
              <x14:borderColor rgb="FF008AEF"/>
              <x14:negativeFillColor rgb="FFFF0000"/>
              <x14:negativeBorderColor rgb="FFFF0000"/>
              <x14:axisColor rgb="FF000000"/>
            </x14:dataBar>
          </x14:cfRule>
          <xm:sqref>B81:B102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0" zoomScaleNormal="60" workbookViewId="0">
      <selection activeCell="E39" sqref="E39"/>
    </sheetView>
  </sheetViews>
  <sheetFormatPr defaultColWidth="8.7265625" defaultRowHeight="14.5" x14ac:dyDescent="0.35"/>
  <cols>
    <col min="1" max="16384" width="8.7265625" style="20"/>
  </cols>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tabSelected="1" workbookViewId="0">
      <selection activeCell="H6" sqref="H6"/>
    </sheetView>
  </sheetViews>
  <sheetFormatPr defaultRowHeight="14.5" x14ac:dyDescent="0.35"/>
  <cols>
    <col min="2" max="2" width="11.54296875" customWidth="1"/>
    <col min="3" max="3" width="2.7265625" customWidth="1"/>
    <col min="8" max="8" width="20.453125" customWidth="1"/>
    <col min="11" max="11" width="16.453125" customWidth="1"/>
  </cols>
  <sheetData>
    <row r="1" spans="1:20" x14ac:dyDescent="0.35">
      <c r="A1" s="48"/>
      <c r="B1" s="48"/>
      <c r="C1" s="48"/>
      <c r="D1" s="48"/>
      <c r="E1" s="48"/>
      <c r="F1" s="48"/>
      <c r="G1" s="48"/>
      <c r="H1" s="48"/>
      <c r="I1" s="48"/>
      <c r="J1" s="48"/>
      <c r="K1" s="48"/>
      <c r="L1" s="48"/>
      <c r="M1" s="48"/>
      <c r="N1" s="48"/>
      <c r="O1" s="48"/>
      <c r="P1" s="48"/>
      <c r="Q1" s="48"/>
      <c r="R1" s="48"/>
      <c r="S1" s="48"/>
      <c r="T1" s="48"/>
    </row>
    <row r="2" spans="1:20" ht="29.5" x14ac:dyDescent="0.95">
      <c r="A2" s="53" t="s">
        <v>361</v>
      </c>
      <c r="B2" s="54"/>
      <c r="C2" s="54"/>
      <c r="D2" s="54"/>
      <c r="E2" s="55"/>
      <c r="F2" s="48"/>
      <c r="G2" s="48"/>
      <c r="H2" s="48"/>
      <c r="I2" s="48"/>
      <c r="J2" s="48"/>
      <c r="K2" s="48"/>
      <c r="L2" s="52"/>
      <c r="M2" s="52"/>
      <c r="N2" s="52"/>
      <c r="O2" s="48"/>
      <c r="P2" s="48"/>
      <c r="Q2" s="48"/>
      <c r="R2" s="48"/>
      <c r="S2" s="48"/>
      <c r="T2" s="48"/>
    </row>
    <row r="3" spans="1:20" ht="11" customHeight="1" x14ac:dyDescent="0.95">
      <c r="A3" s="54"/>
      <c r="B3" s="54"/>
      <c r="C3" s="54"/>
      <c r="D3" s="54"/>
      <c r="E3" s="55"/>
      <c r="F3" s="48"/>
      <c r="G3" s="48"/>
      <c r="H3" s="48"/>
      <c r="I3" s="48"/>
      <c r="J3" s="48"/>
      <c r="K3" s="48"/>
      <c r="L3" s="52"/>
      <c r="M3" s="52"/>
      <c r="N3" s="52"/>
      <c r="O3" s="48"/>
      <c r="P3" s="48"/>
      <c r="Q3" s="48"/>
      <c r="R3" s="48"/>
      <c r="S3" s="48"/>
      <c r="T3" s="48"/>
    </row>
    <row r="4" spans="1:20" ht="29.5" x14ac:dyDescent="0.95">
      <c r="A4" s="54" t="s">
        <v>363</v>
      </c>
      <c r="B4" s="54"/>
      <c r="C4" s="54"/>
      <c r="D4" s="54"/>
      <c r="E4" s="55"/>
      <c r="F4" s="48"/>
      <c r="G4" s="48"/>
      <c r="H4" s="48"/>
      <c r="I4" s="48"/>
      <c r="J4" s="48"/>
      <c r="K4" s="48"/>
      <c r="L4" s="52"/>
      <c r="M4" s="52"/>
      <c r="N4" s="52"/>
      <c r="O4" s="48"/>
      <c r="P4" s="48"/>
      <c r="Q4" s="48"/>
      <c r="R4" s="48"/>
      <c r="S4" s="48"/>
      <c r="T4" s="48"/>
    </row>
    <row r="5" spans="1:20" ht="29.5" x14ac:dyDescent="0.95">
      <c r="A5" s="54" t="s">
        <v>364</v>
      </c>
      <c r="B5" s="54"/>
      <c r="C5" s="54"/>
      <c r="D5" s="54"/>
      <c r="E5" s="55"/>
      <c r="F5" s="48"/>
      <c r="G5" s="48"/>
      <c r="H5" s="48"/>
      <c r="I5" s="48"/>
      <c r="J5" s="48"/>
      <c r="K5" s="48"/>
      <c r="L5" s="52"/>
      <c r="M5" s="52"/>
      <c r="N5" s="52"/>
      <c r="O5" s="48"/>
      <c r="P5" s="48"/>
      <c r="Q5" s="48"/>
      <c r="R5" s="48"/>
      <c r="S5" s="48"/>
      <c r="T5" s="48"/>
    </row>
    <row r="6" spans="1:20" ht="29.5" x14ac:dyDescent="0.95">
      <c r="A6" s="54" t="s">
        <v>365</v>
      </c>
      <c r="B6" s="54"/>
      <c r="C6" s="54"/>
      <c r="D6" s="54"/>
      <c r="E6" s="55"/>
      <c r="F6" s="48"/>
      <c r="G6" s="48"/>
      <c r="H6" s="48"/>
      <c r="I6" s="48"/>
      <c r="J6" s="48"/>
      <c r="K6" s="48"/>
      <c r="L6" s="52"/>
      <c r="M6" s="52"/>
      <c r="N6" s="52"/>
      <c r="O6" s="48"/>
      <c r="P6" s="48"/>
      <c r="Q6" s="48"/>
      <c r="R6" s="48"/>
      <c r="S6" s="48"/>
      <c r="T6" s="48"/>
    </row>
    <row r="7" spans="1:20" ht="29.5" x14ac:dyDescent="0.95">
      <c r="A7" s="54" t="s">
        <v>366</v>
      </c>
      <c r="B7" s="54"/>
      <c r="C7" s="54"/>
      <c r="D7" s="54"/>
      <c r="E7" s="55"/>
      <c r="F7" s="48"/>
      <c r="G7" s="48"/>
      <c r="H7" s="48"/>
      <c r="I7" s="48"/>
      <c r="J7" s="48"/>
      <c r="K7" s="48"/>
      <c r="L7" s="52"/>
      <c r="M7" s="52"/>
      <c r="N7" s="52"/>
      <c r="O7" s="48"/>
      <c r="P7" s="48"/>
      <c r="Q7" s="48"/>
      <c r="R7" s="48"/>
      <c r="S7" s="48"/>
      <c r="T7" s="48"/>
    </row>
    <row r="8" spans="1:20" ht="29.5" x14ac:dyDescent="0.95">
      <c r="A8" s="54" t="s">
        <v>367</v>
      </c>
      <c r="B8" s="54"/>
      <c r="C8" s="54"/>
      <c r="D8" s="54"/>
      <c r="E8" s="55"/>
      <c r="F8" s="48"/>
      <c r="G8" s="48"/>
      <c r="H8" s="48"/>
      <c r="I8" s="48"/>
      <c r="J8" s="48"/>
      <c r="K8" s="48"/>
      <c r="L8" s="52"/>
      <c r="M8" s="52"/>
      <c r="N8" s="52"/>
      <c r="O8" s="48"/>
      <c r="P8" s="48"/>
      <c r="Q8" s="48"/>
      <c r="R8" s="48"/>
      <c r="S8" s="48"/>
      <c r="T8" s="48"/>
    </row>
    <row r="9" spans="1:20" ht="29.5" x14ac:dyDescent="0.95">
      <c r="A9" s="56" t="s">
        <v>362</v>
      </c>
      <c r="B9" s="54"/>
      <c r="C9" s="54">
        <v>1</v>
      </c>
      <c r="D9" s="57" t="s">
        <v>1</v>
      </c>
      <c r="E9" s="54"/>
      <c r="F9" s="48"/>
      <c r="G9" s="48"/>
      <c r="H9" s="48"/>
      <c r="I9" s="48"/>
      <c r="J9" s="48"/>
      <c r="K9" s="48"/>
      <c r="L9" s="52"/>
      <c r="M9" s="52"/>
      <c r="N9" s="52"/>
      <c r="O9" s="48"/>
      <c r="P9" s="48"/>
      <c r="Q9" s="48"/>
      <c r="R9" s="48"/>
      <c r="S9" s="48"/>
      <c r="T9" s="48"/>
    </row>
    <row r="10" spans="1:20" ht="29.5" x14ac:dyDescent="0.95">
      <c r="A10" s="54"/>
      <c r="B10" s="55"/>
      <c r="C10" s="55">
        <v>2</v>
      </c>
      <c r="D10" s="57" t="s">
        <v>9</v>
      </c>
      <c r="E10" s="54"/>
      <c r="F10" s="48"/>
      <c r="G10" s="48"/>
      <c r="H10" s="48"/>
      <c r="I10" s="48"/>
      <c r="J10" s="48"/>
      <c r="K10" s="48"/>
      <c r="L10" s="52"/>
      <c r="M10" s="52"/>
      <c r="N10" s="52"/>
      <c r="O10" s="48"/>
      <c r="P10" s="48"/>
      <c r="Q10" s="48"/>
      <c r="R10" s="48"/>
      <c r="S10" s="48"/>
      <c r="T10" s="48"/>
    </row>
    <row r="11" spans="1:20" ht="29.5" x14ac:dyDescent="0.95">
      <c r="A11" s="55"/>
      <c r="B11" s="55"/>
      <c r="C11" s="55">
        <v>3</v>
      </c>
      <c r="D11" s="57" t="s">
        <v>25</v>
      </c>
      <c r="E11" s="54"/>
      <c r="F11" s="48"/>
      <c r="G11" s="48"/>
      <c r="H11" s="48"/>
      <c r="I11" s="48"/>
      <c r="J11" s="48"/>
      <c r="K11" s="48"/>
      <c r="L11" s="52"/>
      <c r="M11" s="52"/>
      <c r="N11" s="52"/>
      <c r="O11" s="48"/>
      <c r="P11" s="48"/>
      <c r="Q11" s="48"/>
      <c r="R11" s="48"/>
      <c r="S11" s="48"/>
      <c r="T11" s="48"/>
    </row>
    <row r="12" spans="1:20" ht="29.5" x14ac:dyDescent="0.95">
      <c r="A12" s="55"/>
      <c r="B12" s="55"/>
      <c r="C12" s="55">
        <v>4</v>
      </c>
      <c r="D12" s="57" t="s">
        <v>85</v>
      </c>
      <c r="E12" s="54"/>
      <c r="F12" s="48"/>
      <c r="G12" s="48"/>
      <c r="H12" s="48"/>
      <c r="I12" s="48"/>
      <c r="J12" s="48"/>
      <c r="K12" s="48"/>
      <c r="L12" s="52"/>
      <c r="M12" s="52"/>
      <c r="N12" s="52"/>
      <c r="O12" s="48"/>
      <c r="P12" s="48"/>
      <c r="Q12" s="48"/>
      <c r="R12" s="48"/>
      <c r="S12" s="48"/>
      <c r="T12" s="48"/>
    </row>
    <row r="13" spans="1:20" ht="20.5" x14ac:dyDescent="0.65">
      <c r="A13" s="48"/>
      <c r="B13" s="48"/>
      <c r="C13" s="48"/>
      <c r="D13" s="48"/>
      <c r="E13" s="48"/>
      <c r="F13" s="48"/>
      <c r="G13" s="52"/>
      <c r="H13" s="52"/>
      <c r="I13" s="52"/>
      <c r="J13" s="51"/>
      <c r="K13" s="52"/>
      <c r="L13" s="52"/>
      <c r="M13" s="52"/>
      <c r="N13" s="52"/>
      <c r="O13" s="48"/>
      <c r="P13" s="48"/>
      <c r="Q13" s="48"/>
      <c r="R13" s="48"/>
      <c r="S13" s="48"/>
      <c r="T13" s="48"/>
    </row>
    <row r="14" spans="1:20" ht="20.5" x14ac:dyDescent="0.65">
      <c r="A14" s="48"/>
      <c r="B14" s="48"/>
      <c r="C14" s="48"/>
      <c r="D14" s="48"/>
      <c r="E14" s="48"/>
      <c r="F14" s="48"/>
      <c r="G14" s="52"/>
      <c r="H14" s="52"/>
      <c r="I14" s="51"/>
      <c r="J14" s="51"/>
      <c r="K14" s="52"/>
      <c r="L14" s="52"/>
      <c r="M14" s="52"/>
      <c r="N14" s="52"/>
      <c r="O14" s="48"/>
      <c r="P14" s="48"/>
      <c r="Q14" s="48"/>
      <c r="R14" s="48"/>
      <c r="S14" s="48"/>
      <c r="T14" s="48"/>
    </row>
    <row r="15" spans="1:20" ht="20.5" x14ac:dyDescent="0.65">
      <c r="A15" s="50"/>
      <c r="B15" s="49"/>
      <c r="C15" s="49"/>
      <c r="D15" s="49"/>
      <c r="E15" s="48"/>
      <c r="F15" s="48"/>
      <c r="G15" s="48"/>
      <c r="H15" s="48"/>
      <c r="I15" s="48"/>
      <c r="J15" s="48"/>
      <c r="K15" s="48"/>
      <c r="L15" s="48"/>
      <c r="M15" s="48"/>
      <c r="N15" s="48"/>
      <c r="O15" s="48"/>
      <c r="P15" s="48"/>
      <c r="Q15" s="48"/>
      <c r="R15" s="48"/>
      <c r="S15" s="48"/>
      <c r="T15" s="48"/>
    </row>
    <row r="16" spans="1:20" x14ac:dyDescent="0.35">
      <c r="A16" s="48"/>
      <c r="B16" s="48"/>
      <c r="C16" s="48"/>
      <c r="D16" s="48"/>
      <c r="E16" s="48"/>
      <c r="F16" s="48"/>
      <c r="G16" s="48"/>
      <c r="H16" s="48"/>
      <c r="I16" s="48"/>
      <c r="J16" s="48"/>
      <c r="K16" s="48"/>
      <c r="L16" s="48"/>
      <c r="M16" s="48"/>
      <c r="N16" s="48"/>
      <c r="O16" s="48"/>
      <c r="P16" s="48"/>
      <c r="Q16" s="48"/>
      <c r="R16" s="48"/>
      <c r="S16" s="48"/>
      <c r="T16" s="48"/>
    </row>
    <row r="17" spans="1:20" x14ac:dyDescent="0.35">
      <c r="A17" s="48"/>
      <c r="B17" s="48"/>
      <c r="C17" s="48"/>
      <c r="D17" s="48"/>
      <c r="E17" s="48"/>
      <c r="F17" s="48"/>
      <c r="G17" s="48"/>
      <c r="H17" s="48"/>
      <c r="I17" s="48"/>
      <c r="J17" s="48"/>
      <c r="K17" s="48"/>
      <c r="L17" s="48"/>
      <c r="M17" s="48"/>
      <c r="N17" s="48"/>
      <c r="O17" s="48"/>
      <c r="P17" s="48"/>
      <c r="Q17" s="48"/>
      <c r="R17" s="48"/>
      <c r="S17" s="48"/>
      <c r="T17"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Views>
    <sheetView workbookViewId="0">
      <selection activeCell="A21" sqref="A21"/>
    </sheetView>
  </sheetViews>
  <sheetFormatPr defaultColWidth="8.7265625" defaultRowHeight="14.5" x14ac:dyDescent="0.35"/>
  <cols>
    <col min="1" max="1" width="209.1796875" style="22" bestFit="1" customWidth="1"/>
    <col min="2" max="16384" width="8.7265625" style="22"/>
  </cols>
  <sheetData>
    <row r="1" spans="1:1" x14ac:dyDescent="0.35">
      <c r="A1" s="21" t="s">
        <v>72</v>
      </c>
    </row>
    <row r="2" spans="1:1" x14ac:dyDescent="0.35">
      <c r="A2" s="22" t="s">
        <v>73</v>
      </c>
    </row>
    <row r="4" spans="1:1" x14ac:dyDescent="0.35">
      <c r="A4" s="21" t="s">
        <v>74</v>
      </c>
    </row>
    <row r="5" spans="1:1" x14ac:dyDescent="0.35">
      <c r="A5" s="22" t="s">
        <v>75</v>
      </c>
    </row>
    <row r="7" spans="1:1" x14ac:dyDescent="0.35">
      <c r="A7" s="21" t="s">
        <v>76</v>
      </c>
    </row>
    <row r="8" spans="1:1" x14ac:dyDescent="0.35">
      <c r="A8" s="22" t="s">
        <v>77</v>
      </c>
    </row>
    <row r="10" spans="1:1" x14ac:dyDescent="0.35">
      <c r="A10" s="21" t="s">
        <v>78</v>
      </c>
    </row>
    <row r="11" spans="1:1" x14ac:dyDescent="0.35">
      <c r="A11" s="25" t="s">
        <v>79</v>
      </c>
    </row>
    <row r="12" spans="1:1" x14ac:dyDescent="0.35">
      <c r="A12" s="22" t="s">
        <v>80</v>
      </c>
    </row>
    <row r="13" spans="1:1" x14ac:dyDescent="0.35">
      <c r="A13" s="22" t="s">
        <v>81</v>
      </c>
    </row>
    <row r="15" spans="1:1" x14ac:dyDescent="0.35">
      <c r="A15" s="21" t="s">
        <v>82</v>
      </c>
    </row>
    <row r="16" spans="1:1" x14ac:dyDescent="0.35">
      <c r="A16" s="22" t="s">
        <v>83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
  <sheetViews>
    <sheetView topLeftCell="O1" workbookViewId="0">
      <selection activeCell="K10" sqref="K10"/>
    </sheetView>
  </sheetViews>
  <sheetFormatPr defaultRowHeight="14.5" x14ac:dyDescent="0.35"/>
  <cols>
    <col min="1" max="1" width="10.7265625" bestFit="1" customWidth="1"/>
    <col min="2" max="2" width="13" style="1" bestFit="1" customWidth="1"/>
    <col min="3" max="3" width="9.1796875" bestFit="1" customWidth="1"/>
    <col min="4" max="4" width="7.1796875" bestFit="1" customWidth="1"/>
    <col min="5" max="5" width="15.1796875" style="1" bestFit="1" customWidth="1"/>
    <col min="6" max="6" width="13.7265625" style="1" bestFit="1" customWidth="1"/>
    <col min="7" max="7" width="14.1796875" bestFit="1" customWidth="1"/>
    <col min="8" max="8" width="12.54296875" bestFit="1" customWidth="1"/>
    <col min="9" max="9" width="9.26953125" bestFit="1" customWidth="1"/>
    <col min="10" max="10" width="16.453125" bestFit="1" customWidth="1"/>
    <col min="11" max="11" width="11" bestFit="1" customWidth="1"/>
    <col min="12" max="12" width="15.453125" bestFit="1" customWidth="1"/>
    <col min="13" max="13" width="18.7265625" bestFit="1" customWidth="1"/>
    <col min="14" max="14" width="16.54296875" bestFit="1" customWidth="1"/>
    <col min="15" max="15" width="20" bestFit="1" customWidth="1"/>
    <col min="16" max="16" width="15.453125" bestFit="1" customWidth="1"/>
    <col min="17" max="17" width="23" bestFit="1" customWidth="1"/>
    <col min="18" max="18" width="18.54296875" bestFit="1" customWidth="1"/>
    <col min="19" max="19" width="17.54296875" bestFit="1" customWidth="1"/>
    <col min="20" max="20" width="21.7265625" bestFit="1" customWidth="1"/>
    <col min="21" max="21" width="17.54296875" style="1" bestFit="1" customWidth="1"/>
    <col min="22" max="22" width="14.26953125" bestFit="1" customWidth="1"/>
    <col min="23" max="23" width="14.81640625" bestFit="1" customWidth="1"/>
    <col min="24" max="24" width="16.1796875" bestFit="1" customWidth="1"/>
  </cols>
  <sheetData>
    <row r="1" spans="1:24" x14ac:dyDescent="0.35">
      <c r="A1" t="s">
        <v>84</v>
      </c>
      <c r="B1" s="1" t="s">
        <v>53</v>
      </c>
      <c r="C1" t="s">
        <v>85</v>
      </c>
      <c r="D1" t="s">
        <v>86</v>
      </c>
      <c r="E1" s="1" t="s">
        <v>87</v>
      </c>
      <c r="F1" s="1" t="s">
        <v>88</v>
      </c>
      <c r="G1" t="s">
        <v>89</v>
      </c>
      <c r="H1" t="s">
        <v>90</v>
      </c>
      <c r="I1" t="s">
        <v>1</v>
      </c>
      <c r="J1" t="s">
        <v>91</v>
      </c>
      <c r="K1" t="s">
        <v>92</v>
      </c>
      <c r="L1" t="s">
        <v>93</v>
      </c>
      <c r="M1" t="s">
        <v>25</v>
      </c>
      <c r="N1" t="s">
        <v>9</v>
      </c>
      <c r="O1" t="s">
        <v>94</v>
      </c>
      <c r="P1" t="s">
        <v>95</v>
      </c>
      <c r="Q1" t="s">
        <v>64</v>
      </c>
      <c r="R1" t="s">
        <v>2</v>
      </c>
      <c r="S1" t="s">
        <v>96</v>
      </c>
      <c r="T1" t="s">
        <v>37</v>
      </c>
      <c r="U1" s="1" t="s">
        <v>97</v>
      </c>
      <c r="V1" t="s">
        <v>36</v>
      </c>
      <c r="W1" t="s">
        <v>98</v>
      </c>
      <c r="X1" t="s">
        <v>43</v>
      </c>
    </row>
    <row r="2" spans="1:24" x14ac:dyDescent="0.35">
      <c r="A2" t="s">
        <v>99</v>
      </c>
      <c r="B2" s="1">
        <v>45291</v>
      </c>
      <c r="C2" t="str">
        <f t="shared" ref="C2:C33" si="0">TEXT(B2,"mmm")</f>
        <v>Dec</v>
      </c>
      <c r="D2" t="str">
        <f t="shared" ref="D2:D33" si="1">TEXT(B2,"yyy")</f>
        <v>2023</v>
      </c>
      <c r="F2" s="1">
        <v>45323</v>
      </c>
      <c r="G2" t="s">
        <v>100</v>
      </c>
      <c r="H2" t="s">
        <v>101</v>
      </c>
      <c r="I2" t="s">
        <v>22</v>
      </c>
      <c r="J2">
        <v>44</v>
      </c>
      <c r="K2">
        <v>1</v>
      </c>
      <c r="L2">
        <v>44</v>
      </c>
      <c r="M2" t="s">
        <v>102</v>
      </c>
      <c r="N2" t="s">
        <v>12</v>
      </c>
      <c r="O2" t="s">
        <v>103</v>
      </c>
      <c r="P2">
        <f t="shared" ref="P2:P33" si="2">K2*J2</f>
        <v>44</v>
      </c>
      <c r="Q2" t="str">
        <f t="shared" ref="Q2:Q33" si="3">IF(N2="Delivered",E2-B2,"")</f>
        <v/>
      </c>
      <c r="R2" t="str">
        <f t="array" ref="R2">_xlfn.XLOOKUP(Table1[[#This Row],[Product ID]],Table2[[#All],[Product ID]],Table2[[#All],[Category]])</f>
        <v>Home</v>
      </c>
      <c r="S2" t="str">
        <f t="array" ref="S2">_xlfn.XLOOKUP(Table1[[#This Row],[Customer ID]],Table4[[#All],[Customer ID]],Table4[[#All],[Customer Name]])</f>
        <v>Zoe Mitchell</v>
      </c>
      <c r="T2" t="str">
        <f t="shared" ref="T2:T33" si="4">IF(E2-B2&lt;=2,"Fast","Slow")</f>
        <v>Fast</v>
      </c>
      <c r="U2" s="1" t="str">
        <f t="shared" ref="U2:U33" si="5">IFERROR(IF(E2="","Cancellations",E2),0)</f>
        <v>Cancellations</v>
      </c>
      <c r="V2" t="str">
        <f t="shared" ref="V2:V33" si="6">IF(OR(F2&lt;&gt;"",N2="Cancelled"),"Cancelled","Delivered")</f>
        <v>Cancelled</v>
      </c>
      <c r="W2">
        <f>IF(V2="Cancelled",1,0)</f>
        <v>1</v>
      </c>
      <c r="X2" t="str">
        <f>VLOOKUP(H2,ProductMaster!$A$1:$E$23,2,0)</f>
        <v>Lamp</v>
      </c>
    </row>
    <row r="3" spans="1:24" x14ac:dyDescent="0.35">
      <c r="A3" t="s">
        <v>104</v>
      </c>
      <c r="B3" s="1">
        <v>44979</v>
      </c>
      <c r="C3" t="str">
        <f t="shared" si="0"/>
        <v>Feb</v>
      </c>
      <c r="D3" t="str">
        <f t="shared" si="1"/>
        <v>2023</v>
      </c>
      <c r="E3" s="1">
        <v>44981</v>
      </c>
      <c r="G3" t="s">
        <v>105</v>
      </c>
      <c r="H3" t="s">
        <v>106</v>
      </c>
      <c r="I3" t="s">
        <v>17</v>
      </c>
      <c r="J3">
        <v>96</v>
      </c>
      <c r="K3">
        <v>4</v>
      </c>
      <c r="L3">
        <v>384</v>
      </c>
      <c r="M3" t="s">
        <v>107</v>
      </c>
      <c r="N3" t="s">
        <v>14</v>
      </c>
      <c r="O3" t="s">
        <v>103</v>
      </c>
      <c r="P3">
        <f t="shared" si="2"/>
        <v>384</v>
      </c>
      <c r="Q3">
        <f t="shared" si="3"/>
        <v>2</v>
      </c>
      <c r="R3" t="str">
        <f t="array" ref="R3">_xlfn.XLOOKUP(Table1[[#This Row],[Product ID]],Table2[[#All],[Product ID]],Table2[[#All],[Category]])</f>
        <v>Toys</v>
      </c>
      <c r="S3" t="str">
        <f t="array" ref="S3">_xlfn.XLOOKUP(Table1[[#This Row],[Customer ID]],Table4[[#All],[Customer ID]],Table4[[#All],[Customer Name]])</f>
        <v>Ava White</v>
      </c>
      <c r="T3" t="str">
        <f t="shared" si="4"/>
        <v>Fast</v>
      </c>
      <c r="U3" s="1">
        <f t="shared" si="5"/>
        <v>44981</v>
      </c>
      <c r="V3" t="str">
        <f t="shared" si="6"/>
        <v>Delivered</v>
      </c>
      <c r="W3">
        <f t="shared" ref="W3:W66" si="7">IF(V3="Cancelled",1,0)</f>
        <v>0</v>
      </c>
      <c r="X3" t="str">
        <f>VLOOKUP(H3,ProductMaster!$A$1:$E$23,2,0)</f>
        <v>Doll House</v>
      </c>
    </row>
    <row r="4" spans="1:24" x14ac:dyDescent="0.35">
      <c r="A4" t="s">
        <v>108</v>
      </c>
      <c r="B4" s="1">
        <v>45240</v>
      </c>
      <c r="C4" t="str">
        <f t="shared" si="0"/>
        <v>Nov</v>
      </c>
      <c r="D4" t="str">
        <f t="shared" si="1"/>
        <v>2023</v>
      </c>
      <c r="G4" t="s">
        <v>100</v>
      </c>
      <c r="H4" t="s">
        <v>109</v>
      </c>
      <c r="I4" t="s">
        <v>27</v>
      </c>
      <c r="J4">
        <v>194</v>
      </c>
      <c r="K4">
        <v>4</v>
      </c>
      <c r="L4">
        <v>776</v>
      </c>
      <c r="M4" t="s">
        <v>107</v>
      </c>
      <c r="N4" t="s">
        <v>16</v>
      </c>
      <c r="O4" t="s">
        <v>110</v>
      </c>
      <c r="P4">
        <f t="shared" si="2"/>
        <v>776</v>
      </c>
      <c r="Q4" t="str">
        <f t="shared" si="3"/>
        <v/>
      </c>
      <c r="R4" t="str">
        <f t="array" ref="R4">_xlfn.XLOOKUP(Table1[[#This Row],[Product ID]],Table2[[#All],[Product ID]],Table2[[#All],[Category]])</f>
        <v>Home</v>
      </c>
      <c r="S4" t="str">
        <f t="array" ref="S4">_xlfn.XLOOKUP(Table1[[#This Row],[Customer ID]],Table4[[#All],[Customer ID]],Table4[[#All],[Customer Name]])</f>
        <v>Zoe Mitchell</v>
      </c>
      <c r="T4" t="str">
        <f t="shared" si="4"/>
        <v>Fast</v>
      </c>
      <c r="U4" s="1" t="str">
        <f t="shared" si="5"/>
        <v>Cancellations</v>
      </c>
      <c r="V4" t="str">
        <f t="shared" si="6"/>
        <v>Delivered</v>
      </c>
      <c r="W4">
        <f t="shared" si="7"/>
        <v>0</v>
      </c>
      <c r="X4" t="str">
        <f>VLOOKUP(H4,ProductMaster!$A$1:$E$23,2,0)</f>
        <v>Vacuum Cleaner</v>
      </c>
    </row>
    <row r="5" spans="1:24" x14ac:dyDescent="0.35">
      <c r="A5" t="s">
        <v>111</v>
      </c>
      <c r="B5" s="1">
        <v>45051</v>
      </c>
      <c r="C5" t="str">
        <f t="shared" si="0"/>
        <v>May</v>
      </c>
      <c r="D5" t="str">
        <f t="shared" si="1"/>
        <v>2023</v>
      </c>
      <c r="F5" s="1">
        <v>45235</v>
      </c>
      <c r="G5" t="s">
        <v>112</v>
      </c>
      <c r="H5" t="s">
        <v>109</v>
      </c>
      <c r="I5" t="s">
        <v>22</v>
      </c>
      <c r="J5">
        <v>196</v>
      </c>
      <c r="K5">
        <v>3</v>
      </c>
      <c r="L5">
        <v>588</v>
      </c>
      <c r="M5" t="s">
        <v>113</v>
      </c>
      <c r="N5" t="s">
        <v>12</v>
      </c>
      <c r="O5" t="s">
        <v>114</v>
      </c>
      <c r="P5">
        <f t="shared" si="2"/>
        <v>588</v>
      </c>
      <c r="Q5" t="str">
        <f t="shared" si="3"/>
        <v/>
      </c>
      <c r="R5" t="str">
        <f t="array" ref="R5">_xlfn.XLOOKUP(Table1[[#This Row],[Product ID]],Table2[[#All],[Product ID]],Table2[[#All],[Category]])</f>
        <v>Home</v>
      </c>
      <c r="S5" t="str">
        <f t="array" ref="S5">_xlfn.XLOOKUP(Table1[[#This Row],[Customer ID]],Table4[[#All],[Customer ID]],Table4[[#All],[Customer Name]])</f>
        <v>Grace Ward</v>
      </c>
      <c r="T5" t="str">
        <f t="shared" si="4"/>
        <v>Fast</v>
      </c>
      <c r="U5" s="1" t="str">
        <f t="shared" si="5"/>
        <v>Cancellations</v>
      </c>
      <c r="V5" t="str">
        <f t="shared" si="6"/>
        <v>Cancelled</v>
      </c>
      <c r="W5">
        <f t="shared" si="7"/>
        <v>1</v>
      </c>
      <c r="X5" t="str">
        <f>VLOOKUP(H5,ProductMaster!$A$1:$E$23,2,0)</f>
        <v>Vacuum Cleaner</v>
      </c>
    </row>
    <row r="6" spans="1:24" x14ac:dyDescent="0.35">
      <c r="A6" t="s">
        <v>115</v>
      </c>
      <c r="B6" s="1">
        <v>44959</v>
      </c>
      <c r="C6" t="str">
        <f t="shared" si="0"/>
        <v>Feb</v>
      </c>
      <c r="D6" t="str">
        <f t="shared" si="1"/>
        <v>2023</v>
      </c>
      <c r="E6" s="1">
        <v>45048</v>
      </c>
      <c r="G6" t="s">
        <v>116</v>
      </c>
      <c r="H6" t="s">
        <v>117</v>
      </c>
      <c r="I6" t="s">
        <v>22</v>
      </c>
      <c r="J6">
        <v>59</v>
      </c>
      <c r="K6">
        <v>1</v>
      </c>
      <c r="L6">
        <v>59</v>
      </c>
      <c r="M6" t="s">
        <v>113</v>
      </c>
      <c r="N6" t="s">
        <v>14</v>
      </c>
      <c r="O6" t="s">
        <v>118</v>
      </c>
      <c r="P6">
        <f t="shared" si="2"/>
        <v>59</v>
      </c>
      <c r="Q6">
        <f t="shared" si="3"/>
        <v>89</v>
      </c>
      <c r="R6" t="str">
        <f t="array" ref="R6">_xlfn.XLOOKUP(Table1[[#This Row],[Product ID]],Table2[[#All],[Product ID]],Table2[[#All],[Category]])</f>
        <v>Fashion</v>
      </c>
      <c r="S6" t="str">
        <f t="array" ref="S6">_xlfn.XLOOKUP(Table1[[#This Row],[Customer ID]],Table4[[#All],[Customer ID]],Table4[[#All],[Customer Name]])</f>
        <v>Hazel Brooks</v>
      </c>
      <c r="T6" t="str">
        <f t="shared" si="4"/>
        <v>Slow</v>
      </c>
      <c r="U6" s="1">
        <f t="shared" si="5"/>
        <v>45048</v>
      </c>
      <c r="V6" t="str">
        <f t="shared" si="6"/>
        <v>Delivered</v>
      </c>
      <c r="W6">
        <f t="shared" si="7"/>
        <v>0</v>
      </c>
      <c r="X6" t="str">
        <f>VLOOKUP(H6,ProductMaster!$A$1:$E$23,2,0)</f>
        <v>Jeans</v>
      </c>
    </row>
    <row r="7" spans="1:24" x14ac:dyDescent="0.35">
      <c r="A7" t="s">
        <v>119</v>
      </c>
      <c r="B7" s="1">
        <v>44937</v>
      </c>
      <c r="C7" t="str">
        <f t="shared" si="0"/>
        <v>Jan</v>
      </c>
      <c r="D7" t="str">
        <f t="shared" si="1"/>
        <v>2023</v>
      </c>
      <c r="F7" s="1">
        <v>44968</v>
      </c>
      <c r="G7" t="s">
        <v>120</v>
      </c>
      <c r="H7" t="s">
        <v>117</v>
      </c>
      <c r="I7" t="s">
        <v>22</v>
      </c>
      <c r="J7">
        <v>58</v>
      </c>
      <c r="K7">
        <v>4</v>
      </c>
      <c r="L7">
        <v>232</v>
      </c>
      <c r="M7" t="s">
        <v>121</v>
      </c>
      <c r="N7" t="s">
        <v>12</v>
      </c>
      <c r="O7" t="s">
        <v>103</v>
      </c>
      <c r="P7">
        <f t="shared" si="2"/>
        <v>232</v>
      </c>
      <c r="Q7" t="str">
        <f t="shared" si="3"/>
        <v/>
      </c>
      <c r="R7" t="str">
        <f t="array" ref="R7">_xlfn.XLOOKUP(Table1[[#This Row],[Product ID]],Table2[[#All],[Product ID]],Table2[[#All],[Category]])</f>
        <v>Fashion</v>
      </c>
      <c r="S7" t="str">
        <f t="array" ref="S7">_xlfn.XLOOKUP(Table1[[#This Row],[Customer ID]],Table4[[#All],[Customer ID]],Table4[[#All],[Customer Name]])</f>
        <v>Jackson Allen</v>
      </c>
      <c r="T7" t="str">
        <f t="shared" si="4"/>
        <v>Fast</v>
      </c>
      <c r="U7" s="1" t="str">
        <f t="shared" si="5"/>
        <v>Cancellations</v>
      </c>
      <c r="V7" t="str">
        <f t="shared" si="6"/>
        <v>Cancelled</v>
      </c>
      <c r="W7">
        <f t="shared" si="7"/>
        <v>1</v>
      </c>
      <c r="X7" t="str">
        <f>VLOOKUP(H7,ProductMaster!$A$1:$E$23,2,0)</f>
        <v>Jeans</v>
      </c>
    </row>
    <row r="8" spans="1:24" x14ac:dyDescent="0.35">
      <c r="A8" t="s">
        <v>122</v>
      </c>
      <c r="B8" s="1">
        <v>45152</v>
      </c>
      <c r="C8" t="str">
        <f t="shared" si="0"/>
        <v>Aug</v>
      </c>
      <c r="D8" t="str">
        <f t="shared" si="1"/>
        <v>2023</v>
      </c>
      <c r="F8" s="1">
        <v>45156</v>
      </c>
      <c r="G8" t="s">
        <v>123</v>
      </c>
      <c r="H8" t="s">
        <v>124</v>
      </c>
      <c r="I8" t="s">
        <v>4</v>
      </c>
      <c r="J8">
        <v>105</v>
      </c>
      <c r="K8">
        <v>3</v>
      </c>
      <c r="L8">
        <v>315</v>
      </c>
      <c r="M8" t="s">
        <v>125</v>
      </c>
      <c r="N8" t="s">
        <v>12</v>
      </c>
      <c r="O8" t="s">
        <v>103</v>
      </c>
      <c r="P8">
        <f t="shared" si="2"/>
        <v>315</v>
      </c>
      <c r="Q8" t="str">
        <f t="shared" si="3"/>
        <v/>
      </c>
      <c r="R8" t="str">
        <f t="array" ref="R8">_xlfn.XLOOKUP(Table1[[#This Row],[Product ID]],Table2[[#All],[Product ID]],Table2[[#All],[Category]])</f>
        <v>Electronics</v>
      </c>
      <c r="S8" t="str">
        <f t="array" ref="S8">_xlfn.XLOOKUP(Table1[[#This Row],[Customer ID]],Table4[[#All],[Customer ID]],Table4[[#All],[Customer Name]])</f>
        <v>Noah Wilson</v>
      </c>
      <c r="T8" t="str">
        <f t="shared" si="4"/>
        <v>Fast</v>
      </c>
      <c r="U8" s="1" t="str">
        <f t="shared" si="5"/>
        <v>Cancellations</v>
      </c>
      <c r="V8" t="str">
        <f t="shared" si="6"/>
        <v>Cancelled</v>
      </c>
      <c r="W8">
        <f t="shared" si="7"/>
        <v>1</v>
      </c>
      <c r="X8" t="str">
        <f>VLOOKUP(H8,ProductMaster!$A$1:$E$23,2,0)</f>
        <v>Bluetooth Speaker</v>
      </c>
    </row>
    <row r="9" spans="1:24" x14ac:dyDescent="0.35">
      <c r="A9" t="s">
        <v>126</v>
      </c>
      <c r="B9" s="1">
        <v>44930</v>
      </c>
      <c r="C9" t="str">
        <f t="shared" si="0"/>
        <v>Jan</v>
      </c>
      <c r="D9" t="str">
        <f t="shared" si="1"/>
        <v>2023</v>
      </c>
      <c r="F9" s="1">
        <v>45081</v>
      </c>
      <c r="G9" t="s">
        <v>127</v>
      </c>
      <c r="H9" t="s">
        <v>128</v>
      </c>
      <c r="I9" t="s">
        <v>29</v>
      </c>
      <c r="J9">
        <v>37</v>
      </c>
      <c r="K9">
        <v>5</v>
      </c>
      <c r="L9">
        <v>185</v>
      </c>
      <c r="M9" t="s">
        <v>113</v>
      </c>
      <c r="N9" t="s">
        <v>12</v>
      </c>
      <c r="O9" t="s">
        <v>103</v>
      </c>
      <c r="P9">
        <f t="shared" si="2"/>
        <v>185</v>
      </c>
      <c r="Q9" t="str">
        <f t="shared" si="3"/>
        <v/>
      </c>
      <c r="R9" t="str">
        <f t="array" ref="R9">_xlfn.XLOOKUP(Table1[[#This Row],[Product ID]],Table2[[#All],[Product ID]],Table2[[#All],[Category]])</f>
        <v>Home</v>
      </c>
      <c r="S9" t="str">
        <f t="array" ref="S9">_xlfn.XLOOKUP(Table1[[#This Row],[Customer ID]],Table4[[#All],[Customer ID]],Table4[[#All],[Customer Name]])</f>
        <v>Ava Robinson</v>
      </c>
      <c r="T9" t="str">
        <f t="shared" si="4"/>
        <v>Fast</v>
      </c>
      <c r="U9" s="1" t="str">
        <f t="shared" si="5"/>
        <v>Cancellations</v>
      </c>
      <c r="V9" t="str">
        <f t="shared" si="6"/>
        <v>Cancelled</v>
      </c>
      <c r="W9">
        <f t="shared" si="7"/>
        <v>1</v>
      </c>
      <c r="X9" t="str">
        <f>VLOOKUP(H9,ProductMaster!$A$1:$E$23,2,0)</f>
        <v>Wall Clock</v>
      </c>
    </row>
    <row r="10" spans="1:24" x14ac:dyDescent="0.35">
      <c r="A10" t="s">
        <v>129</v>
      </c>
      <c r="B10" s="1">
        <v>45128</v>
      </c>
      <c r="C10" t="str">
        <f t="shared" si="0"/>
        <v>Jul</v>
      </c>
      <c r="D10" t="str">
        <f t="shared" si="1"/>
        <v>2023</v>
      </c>
      <c r="G10" t="s">
        <v>130</v>
      </c>
      <c r="H10" t="s">
        <v>131</v>
      </c>
      <c r="I10" t="s">
        <v>4</v>
      </c>
      <c r="J10">
        <v>44</v>
      </c>
      <c r="K10">
        <v>2</v>
      </c>
      <c r="L10">
        <v>88</v>
      </c>
      <c r="M10" t="s">
        <v>107</v>
      </c>
      <c r="N10" t="s">
        <v>16</v>
      </c>
      <c r="O10" t="s">
        <v>118</v>
      </c>
      <c r="P10">
        <f t="shared" si="2"/>
        <v>88</v>
      </c>
      <c r="Q10" t="str">
        <f t="shared" si="3"/>
        <v/>
      </c>
      <c r="R10" t="str">
        <f t="array" ref="R10">_xlfn.XLOOKUP(Table1[[#This Row],[Product ID]],Table2[[#All],[Product ID]],Table2[[#All],[Category]])</f>
        <v>Fashion</v>
      </c>
      <c r="S10" t="str">
        <f t="array" ref="S10">_xlfn.XLOOKUP(Table1[[#This Row],[Customer ID]],Table4[[#All],[Customer ID]],Table4[[#All],[Customer Name]])</f>
        <v>Olivia Martinez</v>
      </c>
      <c r="T10" t="str">
        <f t="shared" si="4"/>
        <v>Fast</v>
      </c>
      <c r="U10" s="1" t="str">
        <f t="shared" si="5"/>
        <v>Cancellations</v>
      </c>
      <c r="V10" t="str">
        <f t="shared" si="6"/>
        <v>Delivered</v>
      </c>
      <c r="W10">
        <f t="shared" si="7"/>
        <v>0</v>
      </c>
      <c r="X10" t="str">
        <f>VLOOKUP(H10,ProductMaster!$A$1:$E$23,2,0)</f>
        <v>Formal Shirt</v>
      </c>
    </row>
    <row r="11" spans="1:24" x14ac:dyDescent="0.35">
      <c r="A11" t="s">
        <v>132</v>
      </c>
      <c r="B11" s="1">
        <v>45289</v>
      </c>
      <c r="C11" t="str">
        <f t="shared" si="0"/>
        <v>Dec</v>
      </c>
      <c r="D11" t="str">
        <f t="shared" si="1"/>
        <v>2023</v>
      </c>
      <c r="G11" t="s">
        <v>127</v>
      </c>
      <c r="H11" t="s">
        <v>133</v>
      </c>
      <c r="I11" t="s">
        <v>27</v>
      </c>
      <c r="J11">
        <v>141</v>
      </c>
      <c r="K11">
        <v>4</v>
      </c>
      <c r="L11">
        <v>564</v>
      </c>
      <c r="M11" t="s">
        <v>125</v>
      </c>
      <c r="N11" t="s">
        <v>16</v>
      </c>
      <c r="O11" t="s">
        <v>103</v>
      </c>
      <c r="P11">
        <f t="shared" si="2"/>
        <v>564</v>
      </c>
      <c r="Q11" t="str">
        <f t="shared" si="3"/>
        <v/>
      </c>
      <c r="R11" t="str">
        <f t="array" ref="R11">_xlfn.XLOOKUP(Table1[[#This Row],[Product ID]],Table2[[#All],[Product ID]],Table2[[#All],[Category]])</f>
        <v>Home</v>
      </c>
      <c r="S11" t="str">
        <f t="array" ref="S11">_xlfn.XLOOKUP(Table1[[#This Row],[Customer ID]],Table4[[#All],[Customer ID]],Table4[[#All],[Customer Name]])</f>
        <v>Ava Robinson</v>
      </c>
      <c r="T11" t="str">
        <f t="shared" si="4"/>
        <v>Fast</v>
      </c>
      <c r="U11" s="1" t="str">
        <f t="shared" si="5"/>
        <v>Cancellations</v>
      </c>
      <c r="V11" t="str">
        <f t="shared" si="6"/>
        <v>Delivered</v>
      </c>
      <c r="W11">
        <f t="shared" si="7"/>
        <v>0</v>
      </c>
      <c r="X11" t="str">
        <f>VLOOKUP(H11,ProductMaster!$A$1:$E$23,2,0)</f>
        <v>Cookware Set</v>
      </c>
    </row>
    <row r="12" spans="1:24" x14ac:dyDescent="0.35">
      <c r="A12" t="s">
        <v>134</v>
      </c>
      <c r="B12" s="1">
        <v>45021</v>
      </c>
      <c r="C12" t="str">
        <f t="shared" si="0"/>
        <v>Apr</v>
      </c>
      <c r="D12" t="str">
        <f t="shared" si="1"/>
        <v>2023</v>
      </c>
      <c r="F12" s="1">
        <v>45143</v>
      </c>
      <c r="G12" t="s">
        <v>135</v>
      </c>
      <c r="H12" t="s">
        <v>136</v>
      </c>
      <c r="I12" t="s">
        <v>27</v>
      </c>
      <c r="J12">
        <v>249</v>
      </c>
      <c r="K12">
        <v>1</v>
      </c>
      <c r="L12">
        <v>249</v>
      </c>
      <c r="M12" t="s">
        <v>121</v>
      </c>
      <c r="N12" t="s">
        <v>12</v>
      </c>
      <c r="O12" t="s">
        <v>110</v>
      </c>
      <c r="P12">
        <f t="shared" si="2"/>
        <v>249</v>
      </c>
      <c r="Q12" t="str">
        <f t="shared" si="3"/>
        <v/>
      </c>
      <c r="R12" t="str">
        <f t="array" ref="R12">_xlfn.XLOOKUP(Table1[[#This Row],[Product ID]],Table2[[#All],[Product ID]],Table2[[#All],[Category]])</f>
        <v>Electronics</v>
      </c>
      <c r="S12" t="str">
        <f t="array" ref="S12">_xlfn.XLOOKUP(Table1[[#This Row],[Customer ID]],Table4[[#All],[Customer ID]],Table4[[#All],[Customer Name]])</f>
        <v>Emily Johnson</v>
      </c>
      <c r="T12" t="str">
        <f t="shared" si="4"/>
        <v>Fast</v>
      </c>
      <c r="U12" s="1" t="str">
        <f t="shared" si="5"/>
        <v>Cancellations</v>
      </c>
      <c r="V12" t="str">
        <f t="shared" si="6"/>
        <v>Cancelled</v>
      </c>
      <c r="W12">
        <f t="shared" si="7"/>
        <v>1</v>
      </c>
      <c r="X12" t="str">
        <f>VLOOKUP(H12,ProductMaster!$A$1:$E$23,2,0)</f>
        <v>Smartwatch</v>
      </c>
    </row>
    <row r="13" spans="1:24" x14ac:dyDescent="0.35">
      <c r="A13" t="s">
        <v>137</v>
      </c>
      <c r="B13" s="1">
        <v>45132</v>
      </c>
      <c r="C13" t="str">
        <f t="shared" si="0"/>
        <v>Jul</v>
      </c>
      <c r="D13" t="str">
        <f t="shared" si="1"/>
        <v>2023</v>
      </c>
      <c r="G13" t="s">
        <v>138</v>
      </c>
      <c r="H13" t="s">
        <v>136</v>
      </c>
      <c r="I13" t="s">
        <v>4</v>
      </c>
      <c r="J13">
        <v>247</v>
      </c>
      <c r="K13">
        <v>3</v>
      </c>
      <c r="L13">
        <v>741</v>
      </c>
      <c r="M13" t="s">
        <v>121</v>
      </c>
      <c r="N13" t="s">
        <v>16</v>
      </c>
      <c r="O13" t="s">
        <v>139</v>
      </c>
      <c r="P13">
        <f t="shared" si="2"/>
        <v>741</v>
      </c>
      <c r="Q13" t="str">
        <f t="shared" si="3"/>
        <v/>
      </c>
      <c r="R13" t="str">
        <f t="array" ref="R13">_xlfn.XLOOKUP(Table1[[#This Row],[Product ID]],Table2[[#All],[Product ID]],Table2[[#All],[Category]])</f>
        <v>Electronics</v>
      </c>
      <c r="S13" t="str">
        <f t="array" ref="S13">_xlfn.XLOOKUP(Table1[[#This Row],[Customer ID]],Table4[[#All],[Customer ID]],Table4[[#All],[Customer Name]])</f>
        <v>Emily Johnson</v>
      </c>
      <c r="T13" t="str">
        <f t="shared" si="4"/>
        <v>Fast</v>
      </c>
      <c r="U13" s="1" t="str">
        <f t="shared" si="5"/>
        <v>Cancellations</v>
      </c>
      <c r="V13" t="str">
        <f t="shared" si="6"/>
        <v>Delivered</v>
      </c>
      <c r="W13">
        <f t="shared" si="7"/>
        <v>0</v>
      </c>
      <c r="X13" t="str">
        <f>VLOOKUP(H13,ProductMaster!$A$1:$E$23,2,0)</f>
        <v>Smartwatch</v>
      </c>
    </row>
    <row r="14" spans="1:24" x14ac:dyDescent="0.35">
      <c r="A14" t="s">
        <v>140</v>
      </c>
      <c r="B14" s="1">
        <v>44982</v>
      </c>
      <c r="C14" t="str">
        <f t="shared" si="0"/>
        <v>Feb</v>
      </c>
      <c r="D14" t="str">
        <f t="shared" si="1"/>
        <v>2023</v>
      </c>
      <c r="F14" s="1">
        <v>44985</v>
      </c>
      <c r="G14" t="s">
        <v>141</v>
      </c>
      <c r="H14" t="s">
        <v>142</v>
      </c>
      <c r="I14" t="s">
        <v>4</v>
      </c>
      <c r="J14">
        <v>96</v>
      </c>
      <c r="K14">
        <v>1</v>
      </c>
      <c r="L14">
        <v>96</v>
      </c>
      <c r="M14" t="s">
        <v>102</v>
      </c>
      <c r="N14" t="s">
        <v>12</v>
      </c>
      <c r="O14" t="s">
        <v>118</v>
      </c>
      <c r="P14">
        <f t="shared" si="2"/>
        <v>96</v>
      </c>
      <c r="Q14" t="str">
        <f t="shared" si="3"/>
        <v/>
      </c>
      <c r="R14" t="str">
        <f t="array" ref="R14">_xlfn.XLOOKUP(Table1[[#This Row],[Product ID]],Table2[[#All],[Product ID]],Table2[[#All],[Category]])</f>
        <v>Fashion</v>
      </c>
      <c r="S14" t="str">
        <f t="array" ref="S14">_xlfn.XLOOKUP(Table1[[#This Row],[Customer ID]],Table4[[#All],[Customer ID]],Table4[[#All],[Customer Name]])</f>
        <v>Charlotte Reed</v>
      </c>
      <c r="T14" t="str">
        <f t="shared" si="4"/>
        <v>Fast</v>
      </c>
      <c r="U14" s="1" t="str">
        <f t="shared" si="5"/>
        <v>Cancellations</v>
      </c>
      <c r="V14" t="str">
        <f t="shared" si="6"/>
        <v>Cancelled</v>
      </c>
      <c r="W14">
        <f t="shared" si="7"/>
        <v>1</v>
      </c>
      <c r="X14" t="str">
        <f>VLOOKUP(H14,ProductMaster!$A$1:$E$23,2,0)</f>
        <v>Shoes</v>
      </c>
    </row>
    <row r="15" spans="1:24" x14ac:dyDescent="0.35">
      <c r="A15" t="s">
        <v>143</v>
      </c>
      <c r="B15" s="1">
        <v>44981</v>
      </c>
      <c r="C15" t="str">
        <f t="shared" si="0"/>
        <v>Feb</v>
      </c>
      <c r="D15" t="str">
        <f t="shared" si="1"/>
        <v>2023</v>
      </c>
      <c r="F15" s="1">
        <v>44982</v>
      </c>
      <c r="G15" t="s">
        <v>144</v>
      </c>
      <c r="H15" t="s">
        <v>145</v>
      </c>
      <c r="I15" t="s">
        <v>29</v>
      </c>
      <c r="J15">
        <v>74</v>
      </c>
      <c r="K15">
        <v>5</v>
      </c>
      <c r="L15">
        <v>370</v>
      </c>
      <c r="M15" t="s">
        <v>102</v>
      </c>
      <c r="N15" t="s">
        <v>12</v>
      </c>
      <c r="O15" t="s">
        <v>118</v>
      </c>
      <c r="P15">
        <f t="shared" si="2"/>
        <v>370</v>
      </c>
      <c r="Q15" t="str">
        <f t="shared" si="3"/>
        <v/>
      </c>
      <c r="R15" t="str">
        <f t="array" ref="R15">_xlfn.XLOOKUP(Table1[[#This Row],[Product ID]],Table2[[#All],[Product ID]],Table2[[#All],[Category]])</f>
        <v>Electronics</v>
      </c>
      <c r="S15" t="str">
        <f t="array" ref="S15">_xlfn.XLOOKUP(Table1[[#This Row],[Customer ID]],Table4[[#All],[Customer ID]],Table4[[#All],[Customer Name]])</f>
        <v>Hazel Rivera</v>
      </c>
      <c r="T15" t="str">
        <f t="shared" si="4"/>
        <v>Fast</v>
      </c>
      <c r="U15" s="1" t="str">
        <f t="shared" si="5"/>
        <v>Cancellations</v>
      </c>
      <c r="V15" t="str">
        <f t="shared" si="6"/>
        <v>Cancelled</v>
      </c>
      <c r="W15">
        <f t="shared" si="7"/>
        <v>1</v>
      </c>
      <c r="X15" t="str">
        <f>VLOOKUP(H15,ProductMaster!$A$1:$E$23,2,0)</f>
        <v>Gaming Mouse</v>
      </c>
    </row>
    <row r="16" spans="1:24" x14ac:dyDescent="0.35">
      <c r="A16" t="s">
        <v>146</v>
      </c>
      <c r="B16" s="1">
        <v>45164</v>
      </c>
      <c r="C16" t="str">
        <f t="shared" si="0"/>
        <v>Aug</v>
      </c>
      <c r="D16" t="str">
        <f t="shared" si="1"/>
        <v>2023</v>
      </c>
      <c r="F16" s="1">
        <v>44966</v>
      </c>
      <c r="G16" t="s">
        <v>144</v>
      </c>
      <c r="H16" t="s">
        <v>147</v>
      </c>
      <c r="I16" t="s">
        <v>27</v>
      </c>
      <c r="J16">
        <v>27</v>
      </c>
      <c r="K16">
        <v>1</v>
      </c>
      <c r="L16">
        <v>27</v>
      </c>
      <c r="M16" t="s">
        <v>107</v>
      </c>
      <c r="N16" t="s">
        <v>12</v>
      </c>
      <c r="O16" t="s">
        <v>118</v>
      </c>
      <c r="P16">
        <f t="shared" si="2"/>
        <v>27</v>
      </c>
      <c r="Q16" t="str">
        <f t="shared" si="3"/>
        <v/>
      </c>
      <c r="R16" t="str">
        <f t="array" ref="R16">_xlfn.XLOOKUP(Table1[[#This Row],[Product ID]],Table2[[#All],[Product ID]],Table2[[#All],[Category]])</f>
        <v>Fashion</v>
      </c>
      <c r="S16" t="str">
        <f t="array" ref="S16">_xlfn.XLOOKUP(Table1[[#This Row],[Customer ID]],Table4[[#All],[Customer ID]],Table4[[#All],[Customer Name]])</f>
        <v>Hazel Rivera</v>
      </c>
      <c r="T16" t="str">
        <f t="shared" si="4"/>
        <v>Fast</v>
      </c>
      <c r="U16" s="1" t="str">
        <f t="shared" si="5"/>
        <v>Cancellations</v>
      </c>
      <c r="V16" t="str">
        <f t="shared" si="6"/>
        <v>Cancelled</v>
      </c>
      <c r="W16">
        <f t="shared" si="7"/>
        <v>1</v>
      </c>
      <c r="X16" t="str">
        <f>VLOOKUP(H16,ProductMaster!$A$1:$E$23,2,0)</f>
        <v>T-Shirt</v>
      </c>
    </row>
    <row r="17" spans="1:24" x14ac:dyDescent="0.35">
      <c r="A17" t="s">
        <v>148</v>
      </c>
      <c r="B17" s="1">
        <v>44970</v>
      </c>
      <c r="C17" t="str">
        <f t="shared" si="0"/>
        <v>Feb</v>
      </c>
      <c r="D17" t="str">
        <f t="shared" si="1"/>
        <v>2023</v>
      </c>
      <c r="G17" t="s">
        <v>149</v>
      </c>
      <c r="H17" t="s">
        <v>147</v>
      </c>
      <c r="I17" t="s">
        <v>27</v>
      </c>
      <c r="J17">
        <v>27</v>
      </c>
      <c r="K17">
        <v>3</v>
      </c>
      <c r="L17">
        <v>81</v>
      </c>
      <c r="M17" t="s">
        <v>125</v>
      </c>
      <c r="N17" t="s">
        <v>16</v>
      </c>
      <c r="O17" t="s">
        <v>118</v>
      </c>
      <c r="P17">
        <f t="shared" si="2"/>
        <v>81</v>
      </c>
      <c r="Q17" t="str">
        <f t="shared" si="3"/>
        <v/>
      </c>
      <c r="R17" t="str">
        <f t="array" ref="R17">_xlfn.XLOOKUP(Table1[[#This Row],[Product ID]],Table2[[#All],[Product ID]],Table2[[#All],[Category]])</f>
        <v>Fashion</v>
      </c>
      <c r="S17" t="str">
        <f t="array" ref="S17">_xlfn.XLOOKUP(Table1[[#This Row],[Customer ID]],Table4[[#All],[Customer ID]],Table4[[#All],[Customer Name]])</f>
        <v>Scarlett Murphy</v>
      </c>
      <c r="T17" t="str">
        <f t="shared" si="4"/>
        <v>Fast</v>
      </c>
      <c r="U17" s="1" t="str">
        <f t="shared" si="5"/>
        <v>Cancellations</v>
      </c>
      <c r="V17" t="str">
        <f t="shared" si="6"/>
        <v>Delivered</v>
      </c>
      <c r="W17">
        <f t="shared" si="7"/>
        <v>0</v>
      </c>
      <c r="X17" t="str">
        <f>VLOOKUP(H17,ProductMaster!$A$1:$E$23,2,0)</f>
        <v>T-Shirt</v>
      </c>
    </row>
    <row r="18" spans="1:24" x14ac:dyDescent="0.35">
      <c r="A18" t="s">
        <v>150</v>
      </c>
      <c r="B18" s="1">
        <v>45105</v>
      </c>
      <c r="C18" t="str">
        <f t="shared" si="0"/>
        <v>Jun</v>
      </c>
      <c r="D18" t="str">
        <f t="shared" si="1"/>
        <v>2023</v>
      </c>
      <c r="E18" s="1">
        <v>44933</v>
      </c>
      <c r="G18" t="s">
        <v>138</v>
      </c>
      <c r="H18" t="s">
        <v>151</v>
      </c>
      <c r="I18" t="s">
        <v>17</v>
      </c>
      <c r="J18">
        <v>21</v>
      </c>
      <c r="K18">
        <v>3</v>
      </c>
      <c r="L18">
        <v>63</v>
      </c>
      <c r="M18" t="s">
        <v>107</v>
      </c>
      <c r="N18" t="s">
        <v>14</v>
      </c>
      <c r="O18" t="s">
        <v>103</v>
      </c>
      <c r="P18">
        <f t="shared" si="2"/>
        <v>63</v>
      </c>
      <c r="Q18">
        <f t="shared" si="3"/>
        <v>-172</v>
      </c>
      <c r="R18" t="str">
        <f t="array" ref="R18">_xlfn.XLOOKUP(Table1[[#This Row],[Product ID]],Table2[[#All],[Product ID]],Table2[[#All],[Category]])</f>
        <v>Books</v>
      </c>
      <c r="S18" t="str">
        <f t="array" ref="S18">_xlfn.XLOOKUP(Table1[[#This Row],[Customer ID]],Table4[[#All],[Customer ID]],Table4[[#All],[Customer Name]])</f>
        <v>Emily Johnson</v>
      </c>
      <c r="T18" t="str">
        <f t="shared" si="4"/>
        <v>Fast</v>
      </c>
      <c r="U18" s="1">
        <f t="shared" si="5"/>
        <v>44933</v>
      </c>
      <c r="V18" t="str">
        <f t="shared" si="6"/>
        <v>Delivered</v>
      </c>
      <c r="W18">
        <f t="shared" si="7"/>
        <v>0</v>
      </c>
      <c r="X18" t="str">
        <f>VLOOKUP(H18,ProductMaster!$A$1:$E$23,2,0)</f>
        <v>Novel</v>
      </c>
    </row>
    <row r="19" spans="1:24" x14ac:dyDescent="0.35">
      <c r="A19" t="s">
        <v>152</v>
      </c>
      <c r="B19" s="1">
        <v>45258</v>
      </c>
      <c r="C19" t="str">
        <f t="shared" si="0"/>
        <v>Nov</v>
      </c>
      <c r="D19" t="str">
        <f t="shared" si="1"/>
        <v>2023</v>
      </c>
      <c r="G19" t="s">
        <v>153</v>
      </c>
      <c r="H19" t="s">
        <v>154</v>
      </c>
      <c r="I19" t="s">
        <v>29</v>
      </c>
      <c r="J19">
        <v>70</v>
      </c>
      <c r="K19">
        <v>5</v>
      </c>
      <c r="L19">
        <v>350</v>
      </c>
      <c r="M19" t="s">
        <v>113</v>
      </c>
      <c r="N19" t="s">
        <v>16</v>
      </c>
      <c r="O19" t="s">
        <v>118</v>
      </c>
      <c r="P19">
        <f t="shared" si="2"/>
        <v>350</v>
      </c>
      <c r="Q19" t="str">
        <f t="shared" si="3"/>
        <v/>
      </c>
      <c r="R19" t="str">
        <f t="array" ref="R19">_xlfn.XLOOKUP(Table1[[#This Row],[Product ID]],Table2[[#All],[Product ID]],Table2[[#All],[Category]])</f>
        <v>Books</v>
      </c>
      <c r="S19" t="str">
        <f t="array" ref="S19">_xlfn.XLOOKUP(Table1[[#This Row],[Customer ID]],Table4[[#All],[Customer ID]],Table4[[#All],[Customer Name]])</f>
        <v>Mason Hall</v>
      </c>
      <c r="T19" t="str">
        <f t="shared" si="4"/>
        <v>Fast</v>
      </c>
      <c r="U19" s="1" t="str">
        <f t="shared" si="5"/>
        <v>Cancellations</v>
      </c>
      <c r="V19" t="str">
        <f t="shared" si="6"/>
        <v>Delivered</v>
      </c>
      <c r="W19">
        <f t="shared" si="7"/>
        <v>0</v>
      </c>
      <c r="X19" t="str">
        <f>VLOOKUP(H19,ProductMaster!$A$1:$E$23,2,0)</f>
        <v>Textbook</v>
      </c>
    </row>
    <row r="20" spans="1:24" x14ac:dyDescent="0.35">
      <c r="A20" t="s">
        <v>155</v>
      </c>
      <c r="B20" s="1">
        <v>45163</v>
      </c>
      <c r="C20" t="str">
        <f t="shared" si="0"/>
        <v>Aug</v>
      </c>
      <c r="D20" t="str">
        <f t="shared" si="1"/>
        <v>2023</v>
      </c>
      <c r="G20" t="s">
        <v>156</v>
      </c>
      <c r="H20" t="s">
        <v>142</v>
      </c>
      <c r="I20" t="s">
        <v>27</v>
      </c>
      <c r="J20">
        <v>94</v>
      </c>
      <c r="K20">
        <v>4</v>
      </c>
      <c r="L20">
        <v>376</v>
      </c>
      <c r="M20" t="s">
        <v>107</v>
      </c>
      <c r="N20" t="s">
        <v>16</v>
      </c>
      <c r="O20" t="s">
        <v>110</v>
      </c>
      <c r="P20">
        <f t="shared" si="2"/>
        <v>376</v>
      </c>
      <c r="Q20" t="str">
        <f t="shared" si="3"/>
        <v/>
      </c>
      <c r="R20" t="str">
        <f t="array" ref="R20">_xlfn.XLOOKUP(Table1[[#This Row],[Product ID]],Table2[[#All],[Product ID]],Table2[[#All],[Category]])</f>
        <v>Fashion</v>
      </c>
      <c r="S20" t="str">
        <f t="array" ref="S20">_xlfn.XLOOKUP(Table1[[#This Row],[Customer ID]],Table4[[#All],[Customer ID]],Table4[[#All],[Customer Name]])</f>
        <v>Jacob Price</v>
      </c>
      <c r="T20" t="str">
        <f t="shared" si="4"/>
        <v>Fast</v>
      </c>
      <c r="U20" s="1" t="str">
        <f t="shared" si="5"/>
        <v>Cancellations</v>
      </c>
      <c r="V20" t="str">
        <f t="shared" si="6"/>
        <v>Delivered</v>
      </c>
      <c r="W20">
        <f t="shared" si="7"/>
        <v>0</v>
      </c>
      <c r="X20" t="str">
        <f>VLOOKUP(H20,ProductMaster!$A$1:$E$23,2,0)</f>
        <v>Shoes</v>
      </c>
    </row>
    <row r="21" spans="1:24" x14ac:dyDescent="0.35">
      <c r="A21" t="s">
        <v>157</v>
      </c>
      <c r="B21" s="1">
        <v>45264</v>
      </c>
      <c r="C21" t="str">
        <f t="shared" si="0"/>
        <v>Dec</v>
      </c>
      <c r="D21" t="str">
        <f t="shared" si="1"/>
        <v>2023</v>
      </c>
      <c r="G21" t="s">
        <v>158</v>
      </c>
      <c r="H21" t="s">
        <v>159</v>
      </c>
      <c r="I21" t="s">
        <v>22</v>
      </c>
      <c r="J21">
        <v>813</v>
      </c>
      <c r="K21">
        <v>2</v>
      </c>
      <c r="L21">
        <v>1626</v>
      </c>
      <c r="M21" t="s">
        <v>107</v>
      </c>
      <c r="N21" t="s">
        <v>16</v>
      </c>
      <c r="O21" t="s">
        <v>139</v>
      </c>
      <c r="P21">
        <f t="shared" si="2"/>
        <v>1626</v>
      </c>
      <c r="Q21" t="str">
        <f t="shared" si="3"/>
        <v/>
      </c>
      <c r="R21" t="str">
        <f t="array" ref="R21">_xlfn.XLOOKUP(Table1[[#This Row],[Product ID]],Table2[[#All],[Product ID]],Table2[[#All],[Category]])</f>
        <v>Electronics</v>
      </c>
      <c r="S21" t="str">
        <f t="array" ref="S21">_xlfn.XLOOKUP(Table1[[#This Row],[Customer ID]],Table4[[#All],[Customer ID]],Table4[[#All],[Customer Name]])</f>
        <v>Emma King</v>
      </c>
      <c r="T21" t="str">
        <f t="shared" si="4"/>
        <v>Fast</v>
      </c>
      <c r="U21" s="1" t="str">
        <f t="shared" si="5"/>
        <v>Cancellations</v>
      </c>
      <c r="V21" t="str">
        <f t="shared" si="6"/>
        <v>Delivered</v>
      </c>
      <c r="W21">
        <f t="shared" si="7"/>
        <v>0</v>
      </c>
      <c r="X21" t="str">
        <f>VLOOKUP(H21,ProductMaster!$A$1:$E$23,2,0)</f>
        <v>Smartphone</v>
      </c>
    </row>
    <row r="22" spans="1:24" x14ac:dyDescent="0.35">
      <c r="A22" t="s">
        <v>160</v>
      </c>
      <c r="B22" s="1">
        <v>44967</v>
      </c>
      <c r="C22" t="str">
        <f t="shared" si="0"/>
        <v>Feb</v>
      </c>
      <c r="D22" t="str">
        <f t="shared" si="1"/>
        <v>2023</v>
      </c>
      <c r="G22" t="s">
        <v>130</v>
      </c>
      <c r="H22" t="s">
        <v>151</v>
      </c>
      <c r="I22" t="s">
        <v>4</v>
      </c>
      <c r="J22">
        <v>21</v>
      </c>
      <c r="K22">
        <v>4</v>
      </c>
      <c r="L22">
        <v>84</v>
      </c>
      <c r="M22" t="s">
        <v>113</v>
      </c>
      <c r="N22" t="s">
        <v>16</v>
      </c>
      <c r="O22" t="s">
        <v>118</v>
      </c>
      <c r="P22">
        <f t="shared" si="2"/>
        <v>84</v>
      </c>
      <c r="Q22" t="str">
        <f t="shared" si="3"/>
        <v/>
      </c>
      <c r="R22" t="str">
        <f t="array" ref="R22">_xlfn.XLOOKUP(Table1[[#This Row],[Product ID]],Table2[[#All],[Product ID]],Table2[[#All],[Category]])</f>
        <v>Books</v>
      </c>
      <c r="S22" t="str">
        <f t="array" ref="S22">_xlfn.XLOOKUP(Table1[[#This Row],[Customer ID]],Table4[[#All],[Customer ID]],Table4[[#All],[Customer Name]])</f>
        <v>Olivia Martinez</v>
      </c>
      <c r="T22" t="str">
        <f t="shared" si="4"/>
        <v>Fast</v>
      </c>
      <c r="U22" s="1" t="str">
        <f t="shared" si="5"/>
        <v>Cancellations</v>
      </c>
      <c r="V22" t="str">
        <f t="shared" si="6"/>
        <v>Delivered</v>
      </c>
      <c r="W22">
        <f t="shared" si="7"/>
        <v>0</v>
      </c>
      <c r="X22" t="str">
        <f>VLOOKUP(H22,ProductMaster!$A$1:$E$23,2,0)</f>
        <v>Novel</v>
      </c>
    </row>
    <row r="23" spans="1:24" x14ac:dyDescent="0.35">
      <c r="A23" t="s">
        <v>161</v>
      </c>
      <c r="B23" s="1">
        <v>45180</v>
      </c>
      <c r="C23" t="str">
        <f t="shared" si="0"/>
        <v>Sep</v>
      </c>
      <c r="D23" t="str">
        <f t="shared" si="1"/>
        <v>2023</v>
      </c>
      <c r="G23" t="s">
        <v>141</v>
      </c>
      <c r="H23" t="s">
        <v>101</v>
      </c>
      <c r="I23" t="s">
        <v>29</v>
      </c>
      <c r="J23">
        <v>46</v>
      </c>
      <c r="K23">
        <v>5</v>
      </c>
      <c r="L23">
        <v>230</v>
      </c>
      <c r="M23" t="s">
        <v>113</v>
      </c>
      <c r="N23" t="s">
        <v>16</v>
      </c>
      <c r="O23" t="s">
        <v>110</v>
      </c>
      <c r="P23">
        <f t="shared" si="2"/>
        <v>230</v>
      </c>
      <c r="Q23" t="str">
        <f t="shared" si="3"/>
        <v/>
      </c>
      <c r="R23" t="str">
        <f t="array" ref="R23">_xlfn.XLOOKUP(Table1[[#This Row],[Product ID]],Table2[[#All],[Product ID]],Table2[[#All],[Category]])</f>
        <v>Home</v>
      </c>
      <c r="S23" t="str">
        <f t="array" ref="S23">_xlfn.XLOOKUP(Table1[[#This Row],[Customer ID]],Table4[[#All],[Customer ID]],Table4[[#All],[Customer Name]])</f>
        <v>Charlotte Reed</v>
      </c>
      <c r="T23" t="str">
        <f t="shared" si="4"/>
        <v>Fast</v>
      </c>
      <c r="U23" s="1" t="str">
        <f t="shared" si="5"/>
        <v>Cancellations</v>
      </c>
      <c r="V23" t="str">
        <f t="shared" si="6"/>
        <v>Delivered</v>
      </c>
      <c r="W23">
        <f t="shared" si="7"/>
        <v>0</v>
      </c>
      <c r="X23" t="str">
        <f>VLOOKUP(H23,ProductMaster!$A$1:$E$23,2,0)</f>
        <v>Lamp</v>
      </c>
    </row>
    <row r="24" spans="1:24" x14ac:dyDescent="0.35">
      <c r="A24" t="s">
        <v>162</v>
      </c>
      <c r="B24" s="1">
        <v>44970</v>
      </c>
      <c r="C24" t="str">
        <f t="shared" si="0"/>
        <v>Feb</v>
      </c>
      <c r="D24" t="str">
        <f t="shared" si="1"/>
        <v>2023</v>
      </c>
      <c r="F24" s="1">
        <v>44971</v>
      </c>
      <c r="G24" t="s">
        <v>163</v>
      </c>
      <c r="H24" t="s">
        <v>117</v>
      </c>
      <c r="I24" t="s">
        <v>29</v>
      </c>
      <c r="J24">
        <v>58</v>
      </c>
      <c r="K24">
        <v>3</v>
      </c>
      <c r="L24">
        <v>174</v>
      </c>
      <c r="M24" t="s">
        <v>121</v>
      </c>
      <c r="N24" t="s">
        <v>12</v>
      </c>
      <c r="O24" t="s">
        <v>118</v>
      </c>
      <c r="P24">
        <f t="shared" si="2"/>
        <v>174</v>
      </c>
      <c r="Q24" t="str">
        <f t="shared" si="3"/>
        <v/>
      </c>
      <c r="R24" t="str">
        <f t="array" ref="R24">_xlfn.XLOOKUP(Table1[[#This Row],[Product ID]],Table2[[#All],[Product ID]],Table2[[#All],[Category]])</f>
        <v>Fashion</v>
      </c>
      <c r="S24" t="str">
        <f t="array" ref="S24">_xlfn.XLOOKUP(Table1[[#This Row],[Customer ID]],Table4[[#All],[Customer ID]],Table4[[#All],[Customer Name]])</f>
        <v>Elijah Lewis</v>
      </c>
      <c r="T24" t="str">
        <f t="shared" si="4"/>
        <v>Fast</v>
      </c>
      <c r="U24" s="1" t="str">
        <f t="shared" si="5"/>
        <v>Cancellations</v>
      </c>
      <c r="V24" t="str">
        <f t="shared" si="6"/>
        <v>Cancelled</v>
      </c>
      <c r="W24">
        <f t="shared" si="7"/>
        <v>1</v>
      </c>
      <c r="X24" t="str">
        <f>VLOOKUP(H24,ProductMaster!$A$1:$E$23,2,0)</f>
        <v>Jeans</v>
      </c>
    </row>
    <row r="25" spans="1:24" x14ac:dyDescent="0.35">
      <c r="A25" t="s">
        <v>164</v>
      </c>
      <c r="B25" s="1">
        <v>44968</v>
      </c>
      <c r="C25" t="str">
        <f t="shared" si="0"/>
        <v>Feb</v>
      </c>
      <c r="D25" t="str">
        <f t="shared" si="1"/>
        <v>2023</v>
      </c>
      <c r="E25" s="1">
        <v>45057</v>
      </c>
      <c r="G25" t="s">
        <v>165</v>
      </c>
      <c r="H25" t="s">
        <v>142</v>
      </c>
      <c r="I25" t="s">
        <v>29</v>
      </c>
      <c r="J25">
        <v>96</v>
      </c>
      <c r="K25">
        <v>5</v>
      </c>
      <c r="L25">
        <v>480</v>
      </c>
      <c r="M25" t="s">
        <v>121</v>
      </c>
      <c r="N25" t="s">
        <v>14</v>
      </c>
      <c r="O25" t="s">
        <v>118</v>
      </c>
      <c r="P25">
        <f t="shared" si="2"/>
        <v>480</v>
      </c>
      <c r="Q25">
        <f t="shared" si="3"/>
        <v>89</v>
      </c>
      <c r="R25" t="str">
        <f t="array" ref="R25">_xlfn.XLOOKUP(Table1[[#This Row],[Product ID]],Table2[[#All],[Product ID]],Table2[[#All],[Category]])</f>
        <v>Fashion</v>
      </c>
      <c r="S25" t="str">
        <f t="array" ref="S25">_xlfn.XLOOKUP(Table1[[#This Row],[Customer ID]],Table4[[#All],[Customer ID]],Table4[[#All],[Customer Name]])</f>
        <v>Lily Bennett</v>
      </c>
      <c r="T25" t="str">
        <f t="shared" si="4"/>
        <v>Slow</v>
      </c>
      <c r="U25" s="1">
        <f t="shared" si="5"/>
        <v>45057</v>
      </c>
      <c r="V25" t="str">
        <f t="shared" si="6"/>
        <v>Delivered</v>
      </c>
      <c r="W25">
        <f t="shared" si="7"/>
        <v>0</v>
      </c>
      <c r="X25" t="str">
        <f>VLOOKUP(H25,ProductMaster!$A$1:$E$23,2,0)</f>
        <v>Shoes</v>
      </c>
    </row>
    <row r="26" spans="1:24" x14ac:dyDescent="0.35">
      <c r="A26" t="s">
        <v>166</v>
      </c>
      <c r="B26" s="1">
        <v>45074</v>
      </c>
      <c r="C26" t="str">
        <f t="shared" si="0"/>
        <v>May</v>
      </c>
      <c r="D26" t="str">
        <f t="shared" si="1"/>
        <v>2023</v>
      </c>
      <c r="E26" s="1">
        <v>45076</v>
      </c>
      <c r="G26" t="s">
        <v>167</v>
      </c>
      <c r="H26" t="s">
        <v>168</v>
      </c>
      <c r="I26" t="s">
        <v>27</v>
      </c>
      <c r="J26">
        <v>43</v>
      </c>
      <c r="K26">
        <v>1</v>
      </c>
      <c r="L26">
        <v>43</v>
      </c>
      <c r="M26" t="s">
        <v>125</v>
      </c>
      <c r="N26" t="s">
        <v>14</v>
      </c>
      <c r="O26" t="s">
        <v>118</v>
      </c>
      <c r="P26">
        <f t="shared" si="2"/>
        <v>43</v>
      </c>
      <c r="Q26">
        <f t="shared" si="3"/>
        <v>2</v>
      </c>
      <c r="R26" t="str">
        <f t="array" ref="R26">_xlfn.XLOOKUP(Table1[[#This Row],[Product ID]],Table2[[#All],[Product ID]],Table2[[#All],[Category]])</f>
        <v>Toys</v>
      </c>
      <c r="S26" t="str">
        <f t="array" ref="S26">_xlfn.XLOOKUP(Table1[[#This Row],[Customer ID]],Table4[[#All],[Customer ID]],Table4[[#All],[Customer Name]])</f>
        <v>Benjamin Clark</v>
      </c>
      <c r="T26" t="str">
        <f t="shared" si="4"/>
        <v>Fast</v>
      </c>
      <c r="U26" s="1">
        <f t="shared" si="5"/>
        <v>45076</v>
      </c>
      <c r="V26" t="str">
        <f t="shared" si="6"/>
        <v>Delivered</v>
      </c>
      <c r="W26">
        <f t="shared" si="7"/>
        <v>0</v>
      </c>
      <c r="X26" t="str">
        <f>VLOOKUP(H26,ProductMaster!$A$1:$E$23,2,0)</f>
        <v>Action Figure</v>
      </c>
    </row>
    <row r="27" spans="1:24" x14ac:dyDescent="0.35">
      <c r="A27" t="s">
        <v>169</v>
      </c>
      <c r="B27" s="1">
        <v>45214</v>
      </c>
      <c r="C27" t="str">
        <f t="shared" si="0"/>
        <v>Oct</v>
      </c>
      <c r="D27" t="str">
        <f t="shared" si="1"/>
        <v>2023</v>
      </c>
      <c r="E27" s="1">
        <v>45220</v>
      </c>
      <c r="G27" t="s">
        <v>116</v>
      </c>
      <c r="H27" t="s">
        <v>170</v>
      </c>
      <c r="I27" t="s">
        <v>27</v>
      </c>
      <c r="J27">
        <v>64</v>
      </c>
      <c r="K27">
        <v>4</v>
      </c>
      <c r="L27">
        <v>256</v>
      </c>
      <c r="M27" t="s">
        <v>125</v>
      </c>
      <c r="N27" t="s">
        <v>14</v>
      </c>
      <c r="O27" t="s">
        <v>110</v>
      </c>
      <c r="P27">
        <f t="shared" si="2"/>
        <v>256</v>
      </c>
      <c r="Q27">
        <f t="shared" si="3"/>
        <v>6</v>
      </c>
      <c r="R27" t="str">
        <f t="array" ref="R27">_xlfn.XLOOKUP(Table1[[#This Row],[Product ID]],Table2[[#All],[Product ID]],Table2[[#All],[Category]])</f>
        <v>Fashion</v>
      </c>
      <c r="S27" t="str">
        <f t="array" ref="S27">_xlfn.XLOOKUP(Table1[[#This Row],[Customer ID]],Table4[[#All],[Customer ID]],Table4[[#All],[Customer Name]])</f>
        <v>Hazel Brooks</v>
      </c>
      <c r="T27" t="str">
        <f t="shared" si="4"/>
        <v>Slow</v>
      </c>
      <c r="U27" s="1">
        <f t="shared" si="5"/>
        <v>45220</v>
      </c>
      <c r="V27" t="str">
        <f t="shared" si="6"/>
        <v>Delivered</v>
      </c>
      <c r="W27">
        <f t="shared" si="7"/>
        <v>0</v>
      </c>
      <c r="X27" t="str">
        <f>VLOOKUP(H27,ProductMaster!$A$1:$E$23,2,0)</f>
        <v>Backpack</v>
      </c>
    </row>
    <row r="28" spans="1:24" x14ac:dyDescent="0.35">
      <c r="A28" t="s">
        <v>171</v>
      </c>
      <c r="B28" s="1">
        <v>44942</v>
      </c>
      <c r="C28" t="str">
        <f t="shared" si="0"/>
        <v>Jan</v>
      </c>
      <c r="D28" t="str">
        <f t="shared" si="1"/>
        <v>2023</v>
      </c>
      <c r="G28" t="s">
        <v>172</v>
      </c>
      <c r="H28" t="s">
        <v>154</v>
      </c>
      <c r="I28" t="s">
        <v>27</v>
      </c>
      <c r="J28">
        <v>70</v>
      </c>
      <c r="K28">
        <v>2</v>
      </c>
      <c r="L28">
        <v>140</v>
      </c>
      <c r="M28" t="s">
        <v>121</v>
      </c>
      <c r="N28" t="s">
        <v>16</v>
      </c>
      <c r="O28" t="s">
        <v>118</v>
      </c>
      <c r="P28">
        <f t="shared" si="2"/>
        <v>140</v>
      </c>
      <c r="Q28" t="str">
        <f t="shared" si="3"/>
        <v/>
      </c>
      <c r="R28" t="str">
        <f t="array" ref="R28">_xlfn.XLOOKUP(Table1[[#This Row],[Product ID]],Table2[[#All],[Product ID]],Table2[[#All],[Category]])</f>
        <v>Books</v>
      </c>
      <c r="S28" t="str">
        <f t="array" ref="S28">_xlfn.XLOOKUP(Table1[[#This Row],[Customer ID]],Table4[[#All],[Customer ID]],Table4[[#All],[Customer Name]])</f>
        <v>Grace Scott</v>
      </c>
      <c r="T28" t="str">
        <f t="shared" si="4"/>
        <v>Fast</v>
      </c>
      <c r="U28" s="1" t="str">
        <f t="shared" si="5"/>
        <v>Cancellations</v>
      </c>
      <c r="V28" t="str">
        <f t="shared" si="6"/>
        <v>Delivered</v>
      </c>
      <c r="W28">
        <f t="shared" si="7"/>
        <v>0</v>
      </c>
      <c r="X28" t="str">
        <f>VLOOKUP(H28,ProductMaster!$A$1:$E$23,2,0)</f>
        <v>Textbook</v>
      </c>
    </row>
    <row r="29" spans="1:24" x14ac:dyDescent="0.35">
      <c r="A29" t="s">
        <v>173</v>
      </c>
      <c r="B29" s="1">
        <v>45179</v>
      </c>
      <c r="C29" t="str">
        <f t="shared" si="0"/>
        <v>Sep</v>
      </c>
      <c r="D29" t="str">
        <f t="shared" si="1"/>
        <v>2023</v>
      </c>
      <c r="G29" t="s">
        <v>172</v>
      </c>
      <c r="H29" t="s">
        <v>106</v>
      </c>
      <c r="I29" t="s">
        <v>4</v>
      </c>
      <c r="J29">
        <v>97</v>
      </c>
      <c r="K29">
        <v>3</v>
      </c>
      <c r="L29">
        <v>291</v>
      </c>
      <c r="M29" t="s">
        <v>107</v>
      </c>
      <c r="N29" t="s">
        <v>16</v>
      </c>
      <c r="O29" t="s">
        <v>118</v>
      </c>
      <c r="P29">
        <f t="shared" si="2"/>
        <v>291</v>
      </c>
      <c r="Q29" t="str">
        <f t="shared" si="3"/>
        <v/>
      </c>
      <c r="R29" t="str">
        <f t="array" ref="R29">_xlfn.XLOOKUP(Table1[[#This Row],[Product ID]],Table2[[#All],[Product ID]],Table2[[#All],[Category]])</f>
        <v>Toys</v>
      </c>
      <c r="S29" t="str">
        <f t="array" ref="S29">_xlfn.XLOOKUP(Table1[[#This Row],[Customer ID]],Table4[[#All],[Customer ID]],Table4[[#All],[Customer Name]])</f>
        <v>Grace Scott</v>
      </c>
      <c r="T29" t="str">
        <f t="shared" si="4"/>
        <v>Fast</v>
      </c>
      <c r="U29" s="1" t="str">
        <f t="shared" si="5"/>
        <v>Cancellations</v>
      </c>
      <c r="V29" t="str">
        <f t="shared" si="6"/>
        <v>Delivered</v>
      </c>
      <c r="W29">
        <f t="shared" si="7"/>
        <v>0</v>
      </c>
      <c r="X29" t="str">
        <f>VLOOKUP(H29,ProductMaster!$A$1:$E$23,2,0)</f>
        <v>Doll House</v>
      </c>
    </row>
    <row r="30" spans="1:24" x14ac:dyDescent="0.35">
      <c r="A30" t="s">
        <v>174</v>
      </c>
      <c r="B30" s="1">
        <v>45117</v>
      </c>
      <c r="C30" t="str">
        <f t="shared" si="0"/>
        <v>Jul</v>
      </c>
      <c r="D30" t="str">
        <f t="shared" si="1"/>
        <v>2023</v>
      </c>
      <c r="F30" s="1">
        <v>45209</v>
      </c>
      <c r="G30" t="s">
        <v>175</v>
      </c>
      <c r="H30" t="s">
        <v>128</v>
      </c>
      <c r="I30" t="s">
        <v>17</v>
      </c>
      <c r="J30">
        <v>37</v>
      </c>
      <c r="K30">
        <v>3</v>
      </c>
      <c r="L30">
        <v>111</v>
      </c>
      <c r="M30" t="s">
        <v>102</v>
      </c>
      <c r="N30" t="s">
        <v>12</v>
      </c>
      <c r="O30" t="s">
        <v>103</v>
      </c>
      <c r="P30">
        <f t="shared" si="2"/>
        <v>111</v>
      </c>
      <c r="Q30" t="str">
        <f t="shared" si="3"/>
        <v/>
      </c>
      <c r="R30" t="str">
        <f t="array" ref="R30">_xlfn.XLOOKUP(Table1[[#This Row],[Product ID]],Table2[[#All],[Product ID]],Table2[[#All],[Category]])</f>
        <v>Home</v>
      </c>
      <c r="S30" t="str">
        <f t="array" ref="S30">_xlfn.XLOOKUP(Table1[[#This Row],[Customer ID]],Table4[[#All],[Customer ID]],Table4[[#All],[Customer Name]])</f>
        <v>Liam Walker</v>
      </c>
      <c r="T30" t="str">
        <f t="shared" si="4"/>
        <v>Fast</v>
      </c>
      <c r="U30" s="1" t="str">
        <f t="shared" si="5"/>
        <v>Cancellations</v>
      </c>
      <c r="V30" t="str">
        <f t="shared" si="6"/>
        <v>Cancelled</v>
      </c>
      <c r="W30">
        <f t="shared" si="7"/>
        <v>1</v>
      </c>
      <c r="X30" t="str">
        <f>VLOOKUP(H30,ProductMaster!$A$1:$E$23,2,0)</f>
        <v>Wall Clock</v>
      </c>
    </row>
    <row r="31" spans="1:24" x14ac:dyDescent="0.35">
      <c r="A31" t="s">
        <v>176</v>
      </c>
      <c r="B31" s="1">
        <v>44971</v>
      </c>
      <c r="C31" t="str">
        <f t="shared" si="0"/>
        <v>Feb</v>
      </c>
      <c r="D31" t="str">
        <f t="shared" si="1"/>
        <v>2023</v>
      </c>
      <c r="G31" t="s">
        <v>177</v>
      </c>
      <c r="H31" t="s">
        <v>154</v>
      </c>
      <c r="I31" t="s">
        <v>22</v>
      </c>
      <c r="J31">
        <v>69</v>
      </c>
      <c r="K31">
        <v>5</v>
      </c>
      <c r="L31">
        <v>345</v>
      </c>
      <c r="M31" t="s">
        <v>121</v>
      </c>
      <c r="N31" t="s">
        <v>16</v>
      </c>
      <c r="O31" t="s">
        <v>118</v>
      </c>
      <c r="P31">
        <f t="shared" si="2"/>
        <v>345</v>
      </c>
      <c r="Q31" t="str">
        <f t="shared" si="3"/>
        <v/>
      </c>
      <c r="R31" t="str">
        <f t="array" ref="R31">_xlfn.XLOOKUP(Table1[[#This Row],[Product ID]],Table2[[#All],[Product ID]],Table2[[#All],[Category]])</f>
        <v>Books</v>
      </c>
      <c r="S31" t="str">
        <f t="array" ref="S31">_xlfn.XLOOKUP(Table1[[#This Row],[Customer ID]],Table4[[#All],[Customer ID]],Table4[[#All],[Customer Name]])</f>
        <v>Harper Young</v>
      </c>
      <c r="T31" t="str">
        <f t="shared" si="4"/>
        <v>Fast</v>
      </c>
      <c r="U31" s="1" t="str">
        <f t="shared" si="5"/>
        <v>Cancellations</v>
      </c>
      <c r="V31" t="str">
        <f t="shared" si="6"/>
        <v>Delivered</v>
      </c>
      <c r="W31">
        <f t="shared" si="7"/>
        <v>0</v>
      </c>
      <c r="X31" t="str">
        <f>VLOOKUP(H31,ProductMaster!$A$1:$E$23,2,0)</f>
        <v>Textbook</v>
      </c>
    </row>
    <row r="32" spans="1:24" x14ac:dyDescent="0.35">
      <c r="A32" t="s">
        <v>178</v>
      </c>
      <c r="B32" s="1">
        <v>45011</v>
      </c>
      <c r="C32" t="str">
        <f t="shared" si="0"/>
        <v>Mar</v>
      </c>
      <c r="D32" t="str">
        <f t="shared" si="1"/>
        <v>2023</v>
      </c>
      <c r="G32" t="s">
        <v>179</v>
      </c>
      <c r="H32" t="s">
        <v>168</v>
      </c>
      <c r="I32" t="s">
        <v>22</v>
      </c>
      <c r="J32">
        <v>42</v>
      </c>
      <c r="K32">
        <v>5</v>
      </c>
      <c r="L32">
        <v>210</v>
      </c>
      <c r="M32" t="s">
        <v>121</v>
      </c>
      <c r="N32" t="s">
        <v>16</v>
      </c>
      <c r="O32" t="s">
        <v>114</v>
      </c>
      <c r="P32">
        <f t="shared" si="2"/>
        <v>210</v>
      </c>
      <c r="Q32" t="str">
        <f t="shared" si="3"/>
        <v/>
      </c>
      <c r="R32" t="str">
        <f t="array" ref="R32">_xlfn.XLOOKUP(Table1[[#This Row],[Product ID]],Table2[[#All],[Product ID]],Table2[[#All],[Category]])</f>
        <v>Toys</v>
      </c>
      <c r="S32" t="str">
        <f t="array" ref="S32">_xlfn.XLOOKUP(Table1[[#This Row],[Customer ID]],Table4[[#All],[Customer ID]],Table4[[#All],[Customer Name]])</f>
        <v>Harper Young</v>
      </c>
      <c r="T32" t="str">
        <f t="shared" si="4"/>
        <v>Fast</v>
      </c>
      <c r="U32" s="1" t="str">
        <f t="shared" si="5"/>
        <v>Cancellations</v>
      </c>
      <c r="V32" t="str">
        <f t="shared" si="6"/>
        <v>Delivered</v>
      </c>
      <c r="W32">
        <f t="shared" si="7"/>
        <v>0</v>
      </c>
      <c r="X32" t="str">
        <f>VLOOKUP(H32,ProductMaster!$A$1:$E$23,2,0)</f>
        <v>Action Figure</v>
      </c>
    </row>
    <row r="33" spans="1:24" x14ac:dyDescent="0.35">
      <c r="A33" t="s">
        <v>180</v>
      </c>
      <c r="B33" s="1">
        <v>45092</v>
      </c>
      <c r="C33" t="str">
        <f t="shared" si="0"/>
        <v>Jun</v>
      </c>
      <c r="D33" t="str">
        <f t="shared" si="1"/>
        <v>2023</v>
      </c>
      <c r="F33" s="1">
        <v>45099</v>
      </c>
      <c r="G33" t="s">
        <v>181</v>
      </c>
      <c r="H33" t="s">
        <v>182</v>
      </c>
      <c r="I33" t="s">
        <v>17</v>
      </c>
      <c r="J33">
        <v>11</v>
      </c>
      <c r="K33">
        <v>5</v>
      </c>
      <c r="L33">
        <v>55</v>
      </c>
      <c r="M33" t="s">
        <v>125</v>
      </c>
      <c r="N33" t="s">
        <v>12</v>
      </c>
      <c r="O33" t="s">
        <v>139</v>
      </c>
      <c r="P33">
        <f t="shared" si="2"/>
        <v>55</v>
      </c>
      <c r="Q33" t="str">
        <f t="shared" si="3"/>
        <v/>
      </c>
      <c r="R33" t="str">
        <f t="array" ref="R33">_xlfn.XLOOKUP(Table1[[#This Row],[Product ID]],Table2[[#All],[Product ID]],Table2[[#All],[Category]])</f>
        <v>Books</v>
      </c>
      <c r="S33" t="str">
        <f t="array" ref="S33">_xlfn.XLOOKUP(Table1[[#This Row],[Customer ID]],Table4[[#All],[Customer ID]],Table4[[#All],[Customer Name]])</f>
        <v>Emily Johnson</v>
      </c>
      <c r="T33" t="str">
        <f t="shared" si="4"/>
        <v>Fast</v>
      </c>
      <c r="U33" s="1" t="str">
        <f t="shared" si="5"/>
        <v>Cancellations</v>
      </c>
      <c r="V33" t="str">
        <f t="shared" si="6"/>
        <v>Cancelled</v>
      </c>
      <c r="W33">
        <f t="shared" si="7"/>
        <v>1</v>
      </c>
      <c r="X33" t="str">
        <f>VLOOKUP(H33,ProductMaster!$A$1:$E$23,2,0)</f>
        <v>Magazine</v>
      </c>
    </row>
    <row r="34" spans="1:24" x14ac:dyDescent="0.35">
      <c r="A34" t="s">
        <v>183</v>
      </c>
      <c r="B34" s="1">
        <v>45068</v>
      </c>
      <c r="C34" t="str">
        <f t="shared" ref="C34:C65" si="8">TEXT(B34,"mmm")</f>
        <v>May</v>
      </c>
      <c r="D34" t="str">
        <f t="shared" ref="D34:D65" si="9">TEXT(B34,"yyy")</f>
        <v>2023</v>
      </c>
      <c r="E34" s="1">
        <v>45069</v>
      </c>
      <c r="G34" t="s">
        <v>163</v>
      </c>
      <c r="H34" t="s">
        <v>147</v>
      </c>
      <c r="I34" t="s">
        <v>27</v>
      </c>
      <c r="J34">
        <v>27</v>
      </c>
      <c r="K34">
        <v>2</v>
      </c>
      <c r="L34">
        <v>54</v>
      </c>
      <c r="M34" t="s">
        <v>102</v>
      </c>
      <c r="N34" t="s">
        <v>14</v>
      </c>
      <c r="O34" t="s">
        <v>110</v>
      </c>
      <c r="P34">
        <f t="shared" ref="P34:P65" si="10">K34*J34</f>
        <v>54</v>
      </c>
      <c r="Q34">
        <f t="shared" ref="Q34:Q65" si="11">IF(N34="Delivered",E34-B34,"")</f>
        <v>1</v>
      </c>
      <c r="R34" t="str">
        <f t="array" ref="R34">_xlfn.XLOOKUP(Table1[[#This Row],[Product ID]],Table2[[#All],[Product ID]],Table2[[#All],[Category]])</f>
        <v>Fashion</v>
      </c>
      <c r="S34" t="str">
        <f t="array" ref="S34">_xlfn.XLOOKUP(Table1[[#This Row],[Customer ID]],Table4[[#All],[Customer ID]],Table4[[#All],[Customer Name]])</f>
        <v>Elijah Lewis</v>
      </c>
      <c r="T34" t="str">
        <f t="shared" ref="T34:T65" si="12">IF(E34-B34&lt;=2,"Fast","Slow")</f>
        <v>Fast</v>
      </c>
      <c r="U34" s="1">
        <f t="shared" ref="U34:U65" si="13">IFERROR(IF(E34="","Cancellations",E34),0)</f>
        <v>45069</v>
      </c>
      <c r="V34" t="str">
        <f t="shared" ref="V34:V65" si="14">IF(OR(F34&lt;&gt;"",N34="Cancelled"),"Cancelled","Delivered")</f>
        <v>Delivered</v>
      </c>
      <c r="W34">
        <f t="shared" si="7"/>
        <v>0</v>
      </c>
      <c r="X34" t="str">
        <f>VLOOKUP(H34,ProductMaster!$A$1:$E$23,2,0)</f>
        <v>T-Shirt</v>
      </c>
    </row>
    <row r="35" spans="1:24" x14ac:dyDescent="0.35">
      <c r="A35" t="s">
        <v>184</v>
      </c>
      <c r="B35" s="1">
        <v>45250</v>
      </c>
      <c r="C35" t="str">
        <f t="shared" si="8"/>
        <v>Nov</v>
      </c>
      <c r="D35" t="str">
        <f t="shared" si="9"/>
        <v>2023</v>
      </c>
      <c r="G35" t="s">
        <v>158</v>
      </c>
      <c r="H35" t="s">
        <v>151</v>
      </c>
      <c r="I35" t="s">
        <v>27</v>
      </c>
      <c r="J35">
        <v>21</v>
      </c>
      <c r="K35">
        <v>1</v>
      </c>
      <c r="L35">
        <v>21</v>
      </c>
      <c r="M35" t="s">
        <v>121</v>
      </c>
      <c r="N35" t="s">
        <v>16</v>
      </c>
      <c r="O35" t="s">
        <v>103</v>
      </c>
      <c r="P35">
        <f t="shared" si="10"/>
        <v>21</v>
      </c>
      <c r="Q35" t="str">
        <f t="shared" si="11"/>
        <v/>
      </c>
      <c r="R35" t="str">
        <f t="array" ref="R35">_xlfn.XLOOKUP(Table1[[#This Row],[Product ID]],Table2[[#All],[Product ID]],Table2[[#All],[Category]])</f>
        <v>Books</v>
      </c>
      <c r="S35" t="str">
        <f t="array" ref="S35">_xlfn.XLOOKUP(Table1[[#This Row],[Customer ID]],Table4[[#All],[Customer ID]],Table4[[#All],[Customer Name]])</f>
        <v>Emma King</v>
      </c>
      <c r="T35" t="str">
        <f t="shared" si="12"/>
        <v>Fast</v>
      </c>
      <c r="U35" s="1" t="str">
        <f t="shared" si="13"/>
        <v>Cancellations</v>
      </c>
      <c r="V35" t="str">
        <f t="shared" si="14"/>
        <v>Delivered</v>
      </c>
      <c r="W35">
        <f t="shared" si="7"/>
        <v>0</v>
      </c>
      <c r="X35" t="str">
        <f>VLOOKUP(H35,ProductMaster!$A$1:$E$23,2,0)</f>
        <v>Novel</v>
      </c>
    </row>
    <row r="36" spans="1:24" x14ac:dyDescent="0.35">
      <c r="A36" t="s">
        <v>185</v>
      </c>
      <c r="B36" s="1">
        <v>45282</v>
      </c>
      <c r="C36" t="str">
        <f t="shared" si="8"/>
        <v>Dec</v>
      </c>
      <c r="D36" t="str">
        <f t="shared" si="9"/>
        <v>2023</v>
      </c>
      <c r="E36" s="1">
        <v>45286</v>
      </c>
      <c r="G36" t="s">
        <v>186</v>
      </c>
      <c r="H36" t="s">
        <v>187</v>
      </c>
      <c r="I36" t="s">
        <v>27</v>
      </c>
      <c r="J36">
        <v>172</v>
      </c>
      <c r="K36">
        <v>1</v>
      </c>
      <c r="L36">
        <v>172</v>
      </c>
      <c r="M36" t="s">
        <v>113</v>
      </c>
      <c r="N36" t="s">
        <v>14</v>
      </c>
      <c r="O36" t="s">
        <v>110</v>
      </c>
      <c r="P36">
        <f t="shared" si="10"/>
        <v>172</v>
      </c>
      <c r="Q36">
        <f t="shared" si="11"/>
        <v>4</v>
      </c>
      <c r="R36" t="str">
        <f t="array" ref="R36">_xlfn.XLOOKUP(Table1[[#This Row],[Product ID]],Table2[[#All],[Product ID]],Table2[[#All],[Category]])</f>
        <v>Electronics</v>
      </c>
      <c r="S36" t="str">
        <f t="array" ref="S36">_xlfn.XLOOKUP(Table1[[#This Row],[Customer ID]],Table4[[#All],[Customer ID]],Table4[[#All],[Customer Name]])</f>
        <v>Luke Gray</v>
      </c>
      <c r="T36" t="str">
        <f t="shared" si="12"/>
        <v>Slow</v>
      </c>
      <c r="U36" s="1">
        <f t="shared" si="13"/>
        <v>45286</v>
      </c>
      <c r="V36" t="str">
        <f t="shared" si="14"/>
        <v>Delivered</v>
      </c>
      <c r="W36">
        <f t="shared" si="7"/>
        <v>0</v>
      </c>
      <c r="X36" t="str">
        <f>VLOOKUP(H36,ProductMaster!$A$1:$E$23,2,0)</f>
        <v>Headphones</v>
      </c>
    </row>
    <row r="37" spans="1:24" x14ac:dyDescent="0.35">
      <c r="A37" t="s">
        <v>188</v>
      </c>
      <c r="B37" s="1">
        <v>45130</v>
      </c>
      <c r="C37" t="str">
        <f t="shared" si="8"/>
        <v>Jul</v>
      </c>
      <c r="D37" t="str">
        <f t="shared" si="9"/>
        <v>2023</v>
      </c>
      <c r="G37" t="s">
        <v>179</v>
      </c>
      <c r="H37" t="s">
        <v>189</v>
      </c>
      <c r="I37" t="s">
        <v>22</v>
      </c>
      <c r="J37">
        <v>212</v>
      </c>
      <c r="K37">
        <v>3</v>
      </c>
      <c r="L37">
        <v>636</v>
      </c>
      <c r="M37" t="s">
        <v>121</v>
      </c>
      <c r="N37" t="s">
        <v>16</v>
      </c>
      <c r="O37" t="s">
        <v>114</v>
      </c>
      <c r="P37">
        <f t="shared" si="10"/>
        <v>636</v>
      </c>
      <c r="Q37" t="str">
        <f t="shared" si="11"/>
        <v/>
      </c>
      <c r="R37" t="str">
        <f t="array" ref="R37">_xlfn.XLOOKUP(Table1[[#This Row],[Product ID]],Table2[[#All],[Product ID]],Table2[[#All],[Category]])</f>
        <v>Home</v>
      </c>
      <c r="S37" t="str">
        <f t="array" ref="S37">_xlfn.XLOOKUP(Table1[[#This Row],[Customer ID]],Table4[[#All],[Customer ID]],Table4[[#All],[Customer Name]])</f>
        <v>Harper Young</v>
      </c>
      <c r="T37" t="str">
        <f t="shared" si="12"/>
        <v>Fast</v>
      </c>
      <c r="U37" s="1" t="str">
        <f t="shared" si="13"/>
        <v>Cancellations</v>
      </c>
      <c r="V37" t="str">
        <f t="shared" si="14"/>
        <v>Delivered</v>
      </c>
      <c r="W37">
        <f t="shared" si="7"/>
        <v>0</v>
      </c>
      <c r="X37" t="str">
        <f>VLOOKUP(H37,ProductMaster!$A$1:$E$23,2,0)</f>
        <v>Cookware Set Pro</v>
      </c>
    </row>
    <row r="38" spans="1:24" x14ac:dyDescent="0.35">
      <c r="A38" t="s">
        <v>190</v>
      </c>
      <c r="B38" s="1">
        <v>45216</v>
      </c>
      <c r="C38" t="str">
        <f t="shared" si="8"/>
        <v>Oct</v>
      </c>
      <c r="D38" t="str">
        <f t="shared" si="9"/>
        <v>2023</v>
      </c>
      <c r="E38" s="1">
        <v>45221</v>
      </c>
      <c r="G38" t="s">
        <v>112</v>
      </c>
      <c r="H38" t="s">
        <v>168</v>
      </c>
      <c r="I38" t="s">
        <v>17</v>
      </c>
      <c r="J38">
        <v>41</v>
      </c>
      <c r="K38">
        <v>4</v>
      </c>
      <c r="L38">
        <v>164</v>
      </c>
      <c r="M38" t="s">
        <v>107</v>
      </c>
      <c r="N38" t="s">
        <v>14</v>
      </c>
      <c r="O38" t="s">
        <v>118</v>
      </c>
      <c r="P38">
        <f t="shared" si="10"/>
        <v>164</v>
      </c>
      <c r="Q38">
        <f t="shared" si="11"/>
        <v>5</v>
      </c>
      <c r="R38" t="str">
        <f t="array" ref="R38">_xlfn.XLOOKUP(Table1[[#This Row],[Product ID]],Table2[[#All],[Product ID]],Table2[[#All],[Category]])</f>
        <v>Toys</v>
      </c>
      <c r="S38" t="str">
        <f t="array" ref="S38">_xlfn.XLOOKUP(Table1[[#This Row],[Customer ID]],Table4[[#All],[Customer ID]],Table4[[#All],[Customer Name]])</f>
        <v>Grace Ward</v>
      </c>
      <c r="T38" t="str">
        <f t="shared" si="12"/>
        <v>Slow</v>
      </c>
      <c r="U38" s="1">
        <f t="shared" si="13"/>
        <v>45221</v>
      </c>
      <c r="V38" t="str">
        <f t="shared" si="14"/>
        <v>Delivered</v>
      </c>
      <c r="W38">
        <f t="shared" si="7"/>
        <v>0</v>
      </c>
      <c r="X38" t="str">
        <f>VLOOKUP(H38,ProductMaster!$A$1:$E$23,2,0)</f>
        <v>Action Figure</v>
      </c>
    </row>
    <row r="39" spans="1:24" x14ac:dyDescent="0.35">
      <c r="A39" t="s">
        <v>191</v>
      </c>
      <c r="B39" s="1">
        <v>45160</v>
      </c>
      <c r="C39" t="str">
        <f t="shared" si="8"/>
        <v>Aug</v>
      </c>
      <c r="D39" t="str">
        <f t="shared" si="9"/>
        <v>2023</v>
      </c>
      <c r="F39" s="1">
        <v>45162</v>
      </c>
      <c r="G39" t="s">
        <v>165</v>
      </c>
      <c r="H39" t="s">
        <v>192</v>
      </c>
      <c r="I39" t="s">
        <v>22</v>
      </c>
      <c r="J39">
        <v>32</v>
      </c>
      <c r="K39">
        <v>2</v>
      </c>
      <c r="L39">
        <v>64</v>
      </c>
      <c r="M39" t="s">
        <v>125</v>
      </c>
      <c r="N39" t="s">
        <v>12</v>
      </c>
      <c r="O39" t="s">
        <v>139</v>
      </c>
      <c r="P39">
        <f t="shared" si="10"/>
        <v>64</v>
      </c>
      <c r="Q39" t="str">
        <f t="shared" si="11"/>
        <v/>
      </c>
      <c r="R39" t="str">
        <f t="array" ref="R39">_xlfn.XLOOKUP(Table1[[#This Row],[Product ID]],Table2[[#All],[Product ID]],Table2[[#All],[Category]])</f>
        <v>Toys</v>
      </c>
      <c r="S39" t="str">
        <f t="array" ref="S39">_xlfn.XLOOKUP(Table1[[#This Row],[Customer ID]],Table4[[#All],[Customer ID]],Table4[[#All],[Customer Name]])</f>
        <v>Lily Bennett</v>
      </c>
      <c r="T39" t="str">
        <f t="shared" si="12"/>
        <v>Fast</v>
      </c>
      <c r="U39" s="1" t="str">
        <f t="shared" si="13"/>
        <v>Cancellations</v>
      </c>
      <c r="V39" t="str">
        <f t="shared" si="14"/>
        <v>Cancelled</v>
      </c>
      <c r="W39">
        <f t="shared" si="7"/>
        <v>1</v>
      </c>
      <c r="X39" t="str">
        <f>VLOOKUP(H39,ProductMaster!$A$1:$E$23,2,0)</f>
        <v>Puzzle</v>
      </c>
    </row>
    <row r="40" spans="1:24" x14ac:dyDescent="0.35">
      <c r="A40" t="s">
        <v>193</v>
      </c>
      <c r="B40" s="1">
        <v>44969</v>
      </c>
      <c r="C40" t="str">
        <f t="shared" si="8"/>
        <v>Feb</v>
      </c>
      <c r="D40" t="str">
        <f t="shared" si="9"/>
        <v>2023</v>
      </c>
      <c r="G40" t="s">
        <v>194</v>
      </c>
      <c r="H40" t="s">
        <v>170</v>
      </c>
      <c r="I40" t="s">
        <v>17</v>
      </c>
      <c r="J40">
        <v>66</v>
      </c>
      <c r="K40">
        <v>2</v>
      </c>
      <c r="L40">
        <v>132</v>
      </c>
      <c r="M40" t="s">
        <v>102</v>
      </c>
      <c r="N40" t="s">
        <v>16</v>
      </c>
      <c r="O40" t="s">
        <v>103</v>
      </c>
      <c r="P40">
        <f t="shared" si="10"/>
        <v>132</v>
      </c>
      <c r="Q40" t="str">
        <f t="shared" si="11"/>
        <v/>
      </c>
      <c r="R40" t="str">
        <f t="array" ref="R40">_xlfn.XLOOKUP(Table1[[#This Row],[Product ID]],Table2[[#All],[Product ID]],Table2[[#All],[Category]])</f>
        <v>Fashion</v>
      </c>
      <c r="S40" t="str">
        <f t="array" ref="S40">_xlfn.XLOOKUP(Table1[[#This Row],[Customer ID]],Table4[[#All],[Customer ID]],Table4[[#All],[Customer Name]])</f>
        <v>Scarlett Murphy</v>
      </c>
      <c r="T40" t="str">
        <f t="shared" si="12"/>
        <v>Fast</v>
      </c>
      <c r="U40" s="1" t="str">
        <f t="shared" si="13"/>
        <v>Cancellations</v>
      </c>
      <c r="V40" t="str">
        <f t="shared" si="14"/>
        <v>Delivered</v>
      </c>
      <c r="W40">
        <f t="shared" si="7"/>
        <v>0</v>
      </c>
      <c r="X40" t="str">
        <f>VLOOKUP(H40,ProductMaster!$A$1:$E$23,2,0)</f>
        <v>Backpack</v>
      </c>
    </row>
    <row r="41" spans="1:24" x14ac:dyDescent="0.35">
      <c r="A41" t="s">
        <v>195</v>
      </c>
      <c r="B41" s="1">
        <v>45285</v>
      </c>
      <c r="C41" t="str">
        <f t="shared" si="8"/>
        <v>Dec</v>
      </c>
      <c r="D41" t="str">
        <f t="shared" si="9"/>
        <v>2023</v>
      </c>
      <c r="G41" t="s">
        <v>196</v>
      </c>
      <c r="H41" t="s">
        <v>197</v>
      </c>
      <c r="I41" t="s">
        <v>17</v>
      </c>
      <c r="J41">
        <v>62</v>
      </c>
      <c r="K41">
        <v>4</v>
      </c>
      <c r="L41">
        <v>248</v>
      </c>
      <c r="M41" t="s">
        <v>125</v>
      </c>
      <c r="N41" t="s">
        <v>16</v>
      </c>
      <c r="O41" t="s">
        <v>114</v>
      </c>
      <c r="P41">
        <f t="shared" si="10"/>
        <v>248</v>
      </c>
      <c r="Q41" t="str">
        <f t="shared" si="11"/>
        <v/>
      </c>
      <c r="R41" t="str">
        <f t="array" ref="R41">_xlfn.XLOOKUP(Table1[[#This Row],[Product ID]],Table2[[#All],[Product ID]],Table2[[#All],[Category]])</f>
        <v>Toys</v>
      </c>
      <c r="S41" t="str">
        <f t="array" ref="S41">_xlfn.XLOOKUP(Table1[[#This Row],[Customer ID]],Table4[[#All],[Customer ID]],Table4[[#All],[Customer Name]])</f>
        <v>Ava Robinson</v>
      </c>
      <c r="T41" t="str">
        <f t="shared" si="12"/>
        <v>Fast</v>
      </c>
      <c r="U41" s="1" t="str">
        <f t="shared" si="13"/>
        <v>Cancellations</v>
      </c>
      <c r="V41" t="str">
        <f t="shared" si="14"/>
        <v>Delivered</v>
      </c>
      <c r="W41">
        <f t="shared" si="7"/>
        <v>0</v>
      </c>
      <c r="X41" t="str">
        <f>VLOOKUP(H41,ProductMaster!$A$1:$E$23,2,0)</f>
        <v>Leg Set</v>
      </c>
    </row>
    <row r="42" spans="1:24" x14ac:dyDescent="0.35">
      <c r="A42" t="s">
        <v>198</v>
      </c>
      <c r="B42" s="1">
        <v>45192</v>
      </c>
      <c r="C42" t="str">
        <f t="shared" si="8"/>
        <v>Sep</v>
      </c>
      <c r="D42" t="str">
        <f t="shared" si="9"/>
        <v>2023</v>
      </c>
      <c r="E42" s="1">
        <v>45199</v>
      </c>
      <c r="G42" t="s">
        <v>199</v>
      </c>
      <c r="H42" t="s">
        <v>187</v>
      </c>
      <c r="I42" t="s">
        <v>29</v>
      </c>
      <c r="J42">
        <v>173</v>
      </c>
      <c r="K42">
        <v>4</v>
      </c>
      <c r="L42">
        <v>692</v>
      </c>
      <c r="M42" t="s">
        <v>102</v>
      </c>
      <c r="N42" t="s">
        <v>14</v>
      </c>
      <c r="O42" t="s">
        <v>114</v>
      </c>
      <c r="P42">
        <f t="shared" si="10"/>
        <v>692</v>
      </c>
      <c r="Q42">
        <f t="shared" si="11"/>
        <v>7</v>
      </c>
      <c r="R42" t="str">
        <f t="array" ref="R42">_xlfn.XLOOKUP(Table1[[#This Row],[Product ID]],Table2[[#All],[Product ID]],Table2[[#All],[Category]])</f>
        <v>Electronics</v>
      </c>
      <c r="S42" t="str">
        <f t="array" ref="S42">_xlfn.XLOOKUP(Table1[[#This Row],[Customer ID]],Table4[[#All],[Customer ID]],Table4[[#All],[Customer Name]])</f>
        <v>James Miller</v>
      </c>
      <c r="T42" t="str">
        <f t="shared" si="12"/>
        <v>Slow</v>
      </c>
      <c r="U42" s="1">
        <f t="shared" si="13"/>
        <v>45199</v>
      </c>
      <c r="V42" t="str">
        <f t="shared" si="14"/>
        <v>Delivered</v>
      </c>
      <c r="W42">
        <f t="shared" si="7"/>
        <v>0</v>
      </c>
      <c r="X42" t="str">
        <f>VLOOKUP(H42,ProductMaster!$A$1:$E$23,2,0)</f>
        <v>Headphones</v>
      </c>
    </row>
    <row r="43" spans="1:24" x14ac:dyDescent="0.35">
      <c r="A43" t="s">
        <v>200</v>
      </c>
      <c r="B43" s="1">
        <v>45123</v>
      </c>
      <c r="C43" t="str">
        <f t="shared" si="8"/>
        <v>Jul</v>
      </c>
      <c r="D43" t="str">
        <f t="shared" si="9"/>
        <v>2023</v>
      </c>
      <c r="E43" s="1">
        <v>45125</v>
      </c>
      <c r="G43" t="s">
        <v>175</v>
      </c>
      <c r="H43" t="s">
        <v>197</v>
      </c>
      <c r="I43" t="s">
        <v>29</v>
      </c>
      <c r="J43">
        <v>63</v>
      </c>
      <c r="K43">
        <v>3</v>
      </c>
      <c r="L43">
        <v>189</v>
      </c>
      <c r="M43" t="s">
        <v>102</v>
      </c>
      <c r="N43" t="s">
        <v>14</v>
      </c>
      <c r="O43" t="s">
        <v>114</v>
      </c>
      <c r="P43">
        <f t="shared" si="10"/>
        <v>189</v>
      </c>
      <c r="Q43">
        <f t="shared" si="11"/>
        <v>2</v>
      </c>
      <c r="R43" t="str">
        <f t="array" ref="R43">_xlfn.XLOOKUP(Table1[[#This Row],[Product ID]],Table2[[#All],[Product ID]],Table2[[#All],[Category]])</f>
        <v>Toys</v>
      </c>
      <c r="S43" t="str">
        <f t="array" ref="S43">_xlfn.XLOOKUP(Table1[[#This Row],[Customer ID]],Table4[[#All],[Customer ID]],Table4[[#All],[Customer Name]])</f>
        <v>Liam Walker</v>
      </c>
      <c r="T43" t="str">
        <f t="shared" si="12"/>
        <v>Fast</v>
      </c>
      <c r="U43" s="1">
        <f t="shared" si="13"/>
        <v>45125</v>
      </c>
      <c r="V43" t="str">
        <f t="shared" si="14"/>
        <v>Delivered</v>
      </c>
      <c r="W43">
        <f t="shared" si="7"/>
        <v>0</v>
      </c>
      <c r="X43" t="str">
        <f>VLOOKUP(H43,ProductMaster!$A$1:$E$23,2,0)</f>
        <v>Leg Set</v>
      </c>
    </row>
    <row r="44" spans="1:24" x14ac:dyDescent="0.35">
      <c r="A44" t="s">
        <v>201</v>
      </c>
      <c r="B44" s="1">
        <v>45048</v>
      </c>
      <c r="C44" t="str">
        <f t="shared" si="8"/>
        <v>May</v>
      </c>
      <c r="D44" t="str">
        <f t="shared" si="9"/>
        <v>2023</v>
      </c>
      <c r="F44" s="1">
        <v>45232</v>
      </c>
      <c r="G44" t="s">
        <v>167</v>
      </c>
      <c r="H44" t="s">
        <v>128</v>
      </c>
      <c r="I44" t="s">
        <v>29</v>
      </c>
      <c r="J44">
        <v>36</v>
      </c>
      <c r="K44">
        <v>3</v>
      </c>
      <c r="L44">
        <v>108</v>
      </c>
      <c r="M44" t="s">
        <v>125</v>
      </c>
      <c r="N44" t="s">
        <v>12</v>
      </c>
      <c r="O44" t="s">
        <v>110</v>
      </c>
      <c r="P44">
        <f t="shared" si="10"/>
        <v>108</v>
      </c>
      <c r="Q44" t="str">
        <f t="shared" si="11"/>
        <v/>
      </c>
      <c r="R44" t="str">
        <f t="array" ref="R44">_xlfn.XLOOKUP(Table1[[#This Row],[Product ID]],Table2[[#All],[Product ID]],Table2[[#All],[Category]])</f>
        <v>Home</v>
      </c>
      <c r="S44" t="str">
        <f t="array" ref="S44">_xlfn.XLOOKUP(Table1[[#This Row],[Customer ID]],Table4[[#All],[Customer ID]],Table4[[#All],[Customer Name]])</f>
        <v>Benjamin Clark</v>
      </c>
      <c r="T44" t="str">
        <f t="shared" si="12"/>
        <v>Fast</v>
      </c>
      <c r="U44" s="1" t="str">
        <f t="shared" si="13"/>
        <v>Cancellations</v>
      </c>
      <c r="V44" t="str">
        <f t="shared" si="14"/>
        <v>Cancelled</v>
      </c>
      <c r="W44">
        <f t="shared" si="7"/>
        <v>1</v>
      </c>
      <c r="X44" t="str">
        <f>VLOOKUP(H44,ProductMaster!$A$1:$E$23,2,0)</f>
        <v>Wall Clock</v>
      </c>
    </row>
    <row r="45" spans="1:24" x14ac:dyDescent="0.35">
      <c r="A45" t="s">
        <v>202</v>
      </c>
      <c r="B45" s="1">
        <v>45278</v>
      </c>
      <c r="C45" t="str">
        <f t="shared" si="8"/>
        <v>Dec</v>
      </c>
      <c r="D45" t="str">
        <f t="shared" si="9"/>
        <v>2023</v>
      </c>
      <c r="F45" s="1">
        <v>45283</v>
      </c>
      <c r="G45" t="s">
        <v>196</v>
      </c>
      <c r="H45" t="s">
        <v>197</v>
      </c>
      <c r="I45" t="s">
        <v>4</v>
      </c>
      <c r="J45">
        <v>62</v>
      </c>
      <c r="K45">
        <v>1</v>
      </c>
      <c r="L45">
        <v>62</v>
      </c>
      <c r="M45" t="s">
        <v>102</v>
      </c>
      <c r="N45" t="s">
        <v>12</v>
      </c>
      <c r="O45" t="s">
        <v>118</v>
      </c>
      <c r="P45">
        <f t="shared" si="10"/>
        <v>62</v>
      </c>
      <c r="Q45" t="str">
        <f t="shared" si="11"/>
        <v/>
      </c>
      <c r="R45" t="str">
        <f t="array" ref="R45">_xlfn.XLOOKUP(Table1[[#This Row],[Product ID]],Table2[[#All],[Product ID]],Table2[[#All],[Category]])</f>
        <v>Toys</v>
      </c>
      <c r="S45" t="str">
        <f t="array" ref="S45">_xlfn.XLOOKUP(Table1[[#This Row],[Customer ID]],Table4[[#All],[Customer ID]],Table4[[#All],[Customer Name]])</f>
        <v>Ava Robinson</v>
      </c>
      <c r="T45" t="str">
        <f t="shared" si="12"/>
        <v>Fast</v>
      </c>
      <c r="U45" s="1" t="str">
        <f t="shared" si="13"/>
        <v>Cancellations</v>
      </c>
      <c r="V45" t="str">
        <f t="shared" si="14"/>
        <v>Cancelled</v>
      </c>
      <c r="W45">
        <f t="shared" si="7"/>
        <v>1</v>
      </c>
      <c r="X45" t="str">
        <f>VLOOKUP(H45,ProductMaster!$A$1:$E$23,2,0)</f>
        <v>Leg Set</v>
      </c>
    </row>
    <row r="46" spans="1:24" x14ac:dyDescent="0.35">
      <c r="A46" t="s">
        <v>203</v>
      </c>
      <c r="B46" s="1">
        <v>45236</v>
      </c>
      <c r="C46" t="str">
        <f t="shared" si="8"/>
        <v>Nov</v>
      </c>
      <c r="D46" t="str">
        <f t="shared" si="9"/>
        <v>2023</v>
      </c>
      <c r="F46" s="1">
        <v>45091</v>
      </c>
      <c r="G46" t="s">
        <v>123</v>
      </c>
      <c r="H46" t="s">
        <v>133</v>
      </c>
      <c r="I46" t="s">
        <v>4</v>
      </c>
      <c r="J46">
        <v>137</v>
      </c>
      <c r="K46">
        <v>5</v>
      </c>
      <c r="L46">
        <v>685</v>
      </c>
      <c r="M46" t="s">
        <v>121</v>
      </c>
      <c r="N46" t="s">
        <v>12</v>
      </c>
      <c r="O46" t="s">
        <v>139</v>
      </c>
      <c r="P46">
        <f t="shared" si="10"/>
        <v>685</v>
      </c>
      <c r="Q46" t="str">
        <f t="shared" si="11"/>
        <v/>
      </c>
      <c r="R46" t="str">
        <f t="array" ref="R46">_xlfn.XLOOKUP(Table1[[#This Row],[Product ID]],Table2[[#All],[Product ID]],Table2[[#All],[Category]])</f>
        <v>Home</v>
      </c>
      <c r="S46" t="str">
        <f t="array" ref="S46">_xlfn.XLOOKUP(Table1[[#This Row],[Customer ID]],Table4[[#All],[Customer ID]],Table4[[#All],[Customer Name]])</f>
        <v>Noah Wilson</v>
      </c>
      <c r="T46" t="str">
        <f t="shared" si="12"/>
        <v>Fast</v>
      </c>
      <c r="U46" s="1" t="str">
        <f t="shared" si="13"/>
        <v>Cancellations</v>
      </c>
      <c r="V46" t="str">
        <f t="shared" si="14"/>
        <v>Cancelled</v>
      </c>
      <c r="W46">
        <f t="shared" si="7"/>
        <v>1</v>
      </c>
      <c r="X46" t="str">
        <f>VLOOKUP(H46,ProductMaster!$A$1:$E$23,2,0)</f>
        <v>Cookware Set</v>
      </c>
    </row>
    <row r="47" spans="1:24" x14ac:dyDescent="0.35">
      <c r="A47" t="s">
        <v>204</v>
      </c>
      <c r="B47" s="1">
        <v>45028</v>
      </c>
      <c r="C47" t="str">
        <f t="shared" si="8"/>
        <v>Apr</v>
      </c>
      <c r="D47" t="str">
        <f t="shared" si="9"/>
        <v>2023</v>
      </c>
      <c r="E47" s="1">
        <v>45150</v>
      </c>
      <c r="G47" t="s">
        <v>205</v>
      </c>
      <c r="H47" t="s">
        <v>145</v>
      </c>
      <c r="I47" t="s">
        <v>22</v>
      </c>
      <c r="J47">
        <v>73</v>
      </c>
      <c r="K47">
        <v>4</v>
      </c>
      <c r="L47">
        <v>292</v>
      </c>
      <c r="M47" t="s">
        <v>107</v>
      </c>
      <c r="N47" t="s">
        <v>14</v>
      </c>
      <c r="O47" t="s">
        <v>118</v>
      </c>
      <c r="P47">
        <f t="shared" si="10"/>
        <v>292</v>
      </c>
      <c r="Q47">
        <f t="shared" si="11"/>
        <v>122</v>
      </c>
      <c r="R47" t="str">
        <f t="array" ref="R47">_xlfn.XLOOKUP(Table1[[#This Row],[Product ID]],Table2[[#All],[Product ID]],Table2[[#All],[Category]])</f>
        <v>Electronics</v>
      </c>
      <c r="S47" t="str">
        <f t="array" ref="S47">_xlfn.XLOOKUP(Table1[[#This Row],[Customer ID]],Table4[[#All],[Customer ID]],Table4[[#All],[Customer Name]])</f>
        <v>Logan Ramirez</v>
      </c>
      <c r="T47" t="str">
        <f t="shared" si="12"/>
        <v>Slow</v>
      </c>
      <c r="U47" s="1">
        <f t="shared" si="13"/>
        <v>45150</v>
      </c>
      <c r="V47" t="str">
        <f t="shared" si="14"/>
        <v>Delivered</v>
      </c>
      <c r="W47">
        <f t="shared" si="7"/>
        <v>0</v>
      </c>
      <c r="X47" t="str">
        <f>VLOOKUP(H47,ProductMaster!$A$1:$E$23,2,0)</f>
        <v>Gaming Mouse</v>
      </c>
    </row>
    <row r="48" spans="1:24" x14ac:dyDescent="0.35">
      <c r="A48" t="s">
        <v>206</v>
      </c>
      <c r="B48" s="1">
        <v>45124</v>
      </c>
      <c r="C48" t="str">
        <f t="shared" si="8"/>
        <v>Jul</v>
      </c>
      <c r="D48" t="str">
        <f t="shared" si="9"/>
        <v>2023</v>
      </c>
      <c r="E48" s="1">
        <v>45126</v>
      </c>
      <c r="G48" t="s">
        <v>156</v>
      </c>
      <c r="H48" t="s">
        <v>124</v>
      </c>
      <c r="I48" t="s">
        <v>22</v>
      </c>
      <c r="J48">
        <v>104</v>
      </c>
      <c r="K48">
        <v>1</v>
      </c>
      <c r="L48">
        <v>104</v>
      </c>
      <c r="M48" t="s">
        <v>113</v>
      </c>
      <c r="N48" t="s">
        <v>14</v>
      </c>
      <c r="O48" t="s">
        <v>118</v>
      </c>
      <c r="P48">
        <f t="shared" si="10"/>
        <v>104</v>
      </c>
      <c r="Q48">
        <f t="shared" si="11"/>
        <v>2</v>
      </c>
      <c r="R48" t="str">
        <f t="array" ref="R48">_xlfn.XLOOKUP(Table1[[#This Row],[Product ID]],Table2[[#All],[Product ID]],Table2[[#All],[Category]])</f>
        <v>Electronics</v>
      </c>
      <c r="S48" t="str">
        <f t="array" ref="S48">_xlfn.XLOOKUP(Table1[[#This Row],[Customer ID]],Table4[[#All],[Customer ID]],Table4[[#All],[Customer Name]])</f>
        <v>Jacob Price</v>
      </c>
      <c r="T48" t="str">
        <f t="shared" si="12"/>
        <v>Fast</v>
      </c>
      <c r="U48" s="1">
        <f t="shared" si="13"/>
        <v>45126</v>
      </c>
      <c r="V48" t="str">
        <f t="shared" si="14"/>
        <v>Delivered</v>
      </c>
      <c r="W48">
        <f t="shared" si="7"/>
        <v>0</v>
      </c>
      <c r="X48" t="str">
        <f>VLOOKUP(H48,ProductMaster!$A$1:$E$23,2,0)</f>
        <v>Bluetooth Speaker</v>
      </c>
    </row>
    <row r="49" spans="1:24" x14ac:dyDescent="0.35">
      <c r="A49" t="s">
        <v>207</v>
      </c>
      <c r="B49" s="1">
        <v>45218</v>
      </c>
      <c r="C49" t="str">
        <f t="shared" si="8"/>
        <v>Oct</v>
      </c>
      <c r="D49" t="str">
        <f t="shared" si="9"/>
        <v>2023</v>
      </c>
      <c r="E49" s="1">
        <v>45223</v>
      </c>
      <c r="G49" t="s">
        <v>112</v>
      </c>
      <c r="H49" t="s">
        <v>142</v>
      </c>
      <c r="I49" t="s">
        <v>17</v>
      </c>
      <c r="J49">
        <v>97</v>
      </c>
      <c r="K49">
        <v>1</v>
      </c>
      <c r="L49">
        <v>97</v>
      </c>
      <c r="M49" t="s">
        <v>121</v>
      </c>
      <c r="N49" t="s">
        <v>14</v>
      </c>
      <c r="O49" t="s">
        <v>139</v>
      </c>
      <c r="P49">
        <f t="shared" si="10"/>
        <v>97</v>
      </c>
      <c r="Q49">
        <f t="shared" si="11"/>
        <v>5</v>
      </c>
      <c r="R49" t="str">
        <f t="array" ref="R49">_xlfn.XLOOKUP(Table1[[#This Row],[Product ID]],Table2[[#All],[Product ID]],Table2[[#All],[Category]])</f>
        <v>Fashion</v>
      </c>
      <c r="S49" t="str">
        <f t="array" ref="S49">_xlfn.XLOOKUP(Table1[[#This Row],[Customer ID]],Table4[[#All],[Customer ID]],Table4[[#All],[Customer Name]])</f>
        <v>Grace Ward</v>
      </c>
      <c r="T49" t="str">
        <f t="shared" si="12"/>
        <v>Slow</v>
      </c>
      <c r="U49" s="1">
        <f t="shared" si="13"/>
        <v>45223</v>
      </c>
      <c r="V49" t="str">
        <f t="shared" si="14"/>
        <v>Delivered</v>
      </c>
      <c r="W49">
        <f t="shared" si="7"/>
        <v>0</v>
      </c>
      <c r="X49" t="str">
        <f>VLOOKUP(H49,ProductMaster!$A$1:$E$23,2,0)</f>
        <v>Shoes</v>
      </c>
    </row>
    <row r="50" spans="1:24" x14ac:dyDescent="0.35">
      <c r="A50" t="s">
        <v>208</v>
      </c>
      <c r="B50" s="1">
        <v>45061</v>
      </c>
      <c r="C50" t="str">
        <f t="shared" si="8"/>
        <v>May</v>
      </c>
      <c r="D50" t="str">
        <f t="shared" si="9"/>
        <v>2023</v>
      </c>
      <c r="G50" t="s">
        <v>209</v>
      </c>
      <c r="H50" t="s">
        <v>145</v>
      </c>
      <c r="I50" t="s">
        <v>27</v>
      </c>
      <c r="J50">
        <v>73</v>
      </c>
      <c r="K50">
        <v>5</v>
      </c>
      <c r="L50">
        <v>365</v>
      </c>
      <c r="M50" t="s">
        <v>102</v>
      </c>
      <c r="N50" t="s">
        <v>16</v>
      </c>
      <c r="O50" t="s">
        <v>118</v>
      </c>
      <c r="P50">
        <f t="shared" si="10"/>
        <v>365</v>
      </c>
      <c r="Q50" t="str">
        <f t="shared" si="11"/>
        <v/>
      </c>
      <c r="R50" t="str">
        <f t="array" ref="R50">_xlfn.XLOOKUP(Table1[[#This Row],[Product ID]],Table2[[#All],[Product ID]],Table2[[#All],[Category]])</f>
        <v>Electronics</v>
      </c>
      <c r="S50" t="str">
        <f t="array" ref="S50">_xlfn.XLOOKUP(Table1[[#This Row],[Customer ID]],Table4[[#All],[Customer ID]],Table4[[#All],[Customer Name]])</f>
        <v>Zoe Mitchell</v>
      </c>
      <c r="T50" t="str">
        <f t="shared" si="12"/>
        <v>Fast</v>
      </c>
      <c r="U50" s="1" t="str">
        <f t="shared" si="13"/>
        <v>Cancellations</v>
      </c>
      <c r="V50" t="str">
        <f t="shared" si="14"/>
        <v>Delivered</v>
      </c>
      <c r="W50">
        <f t="shared" si="7"/>
        <v>0</v>
      </c>
      <c r="X50" t="str">
        <f>VLOOKUP(H50,ProductMaster!$A$1:$E$23,2,0)</f>
        <v>Gaming Mouse</v>
      </c>
    </row>
    <row r="51" spans="1:24" x14ac:dyDescent="0.35">
      <c r="A51" t="s">
        <v>210</v>
      </c>
      <c r="B51" s="1">
        <v>45262</v>
      </c>
      <c r="C51" t="str">
        <f t="shared" si="8"/>
        <v>Dec</v>
      </c>
      <c r="D51" t="str">
        <f t="shared" si="9"/>
        <v>2023</v>
      </c>
      <c r="E51" s="1">
        <v>44976</v>
      </c>
      <c r="G51" t="s">
        <v>167</v>
      </c>
      <c r="H51" t="s">
        <v>147</v>
      </c>
      <c r="I51" t="s">
        <v>17</v>
      </c>
      <c r="J51">
        <v>27</v>
      </c>
      <c r="K51">
        <v>3</v>
      </c>
      <c r="L51">
        <v>81</v>
      </c>
      <c r="M51" t="s">
        <v>121</v>
      </c>
      <c r="N51" t="s">
        <v>14</v>
      </c>
      <c r="O51" t="s">
        <v>114</v>
      </c>
      <c r="P51">
        <f t="shared" si="10"/>
        <v>81</v>
      </c>
      <c r="Q51">
        <f t="shared" si="11"/>
        <v>-286</v>
      </c>
      <c r="R51" t="str">
        <f t="array" ref="R51">_xlfn.XLOOKUP(Table1[[#This Row],[Product ID]],Table2[[#All],[Product ID]],Table2[[#All],[Category]])</f>
        <v>Fashion</v>
      </c>
      <c r="S51" t="str">
        <f t="array" ref="S51">_xlfn.XLOOKUP(Table1[[#This Row],[Customer ID]],Table4[[#All],[Customer ID]],Table4[[#All],[Customer Name]])</f>
        <v>Benjamin Clark</v>
      </c>
      <c r="T51" t="str">
        <f t="shared" si="12"/>
        <v>Fast</v>
      </c>
      <c r="U51" s="1">
        <f t="shared" si="13"/>
        <v>44976</v>
      </c>
      <c r="V51" t="str">
        <f t="shared" si="14"/>
        <v>Delivered</v>
      </c>
      <c r="W51">
        <f t="shared" si="7"/>
        <v>0</v>
      </c>
      <c r="X51" t="str">
        <f>VLOOKUP(H51,ProductMaster!$A$1:$E$23,2,0)</f>
        <v>T-Shirt</v>
      </c>
    </row>
    <row r="52" spans="1:24" x14ac:dyDescent="0.35">
      <c r="A52" t="s">
        <v>211</v>
      </c>
      <c r="B52" s="1">
        <v>44967</v>
      </c>
      <c r="C52" t="str">
        <f t="shared" si="8"/>
        <v>Feb</v>
      </c>
      <c r="D52" t="str">
        <f t="shared" si="9"/>
        <v>2023</v>
      </c>
      <c r="G52" t="s">
        <v>156</v>
      </c>
      <c r="H52" t="s">
        <v>128</v>
      </c>
      <c r="I52" t="s">
        <v>22</v>
      </c>
      <c r="J52">
        <v>37</v>
      </c>
      <c r="K52">
        <v>1</v>
      </c>
      <c r="L52">
        <v>37</v>
      </c>
      <c r="M52" t="s">
        <v>102</v>
      </c>
      <c r="N52" t="s">
        <v>16</v>
      </c>
      <c r="O52" t="s">
        <v>114</v>
      </c>
      <c r="P52">
        <f t="shared" si="10"/>
        <v>37</v>
      </c>
      <c r="Q52" t="str">
        <f t="shared" si="11"/>
        <v/>
      </c>
      <c r="R52" t="str">
        <f t="array" ref="R52">_xlfn.XLOOKUP(Table1[[#This Row],[Product ID]],Table2[[#All],[Product ID]],Table2[[#All],[Category]])</f>
        <v>Home</v>
      </c>
      <c r="S52" t="str">
        <f t="array" ref="S52">_xlfn.XLOOKUP(Table1[[#This Row],[Customer ID]],Table4[[#All],[Customer ID]],Table4[[#All],[Customer Name]])</f>
        <v>Jacob Price</v>
      </c>
      <c r="T52" t="str">
        <f t="shared" si="12"/>
        <v>Fast</v>
      </c>
      <c r="U52" s="1" t="str">
        <f t="shared" si="13"/>
        <v>Cancellations</v>
      </c>
      <c r="V52" t="str">
        <f t="shared" si="14"/>
        <v>Delivered</v>
      </c>
      <c r="W52">
        <f t="shared" si="7"/>
        <v>0</v>
      </c>
      <c r="X52" t="str">
        <f>VLOOKUP(H52,ProductMaster!$A$1:$E$23,2,0)</f>
        <v>Wall Clock</v>
      </c>
    </row>
    <row r="53" spans="1:24" x14ac:dyDescent="0.35">
      <c r="A53" t="s">
        <v>212</v>
      </c>
      <c r="B53" s="1">
        <v>44956</v>
      </c>
      <c r="C53" t="str">
        <f t="shared" si="8"/>
        <v>Jan</v>
      </c>
      <c r="D53" t="str">
        <f t="shared" si="9"/>
        <v>2023</v>
      </c>
      <c r="E53" s="1">
        <v>44928</v>
      </c>
      <c r="G53" t="s">
        <v>177</v>
      </c>
      <c r="H53" t="s">
        <v>151</v>
      </c>
      <c r="I53" t="s">
        <v>22</v>
      </c>
      <c r="J53">
        <v>22</v>
      </c>
      <c r="K53">
        <v>1</v>
      </c>
      <c r="L53">
        <v>22</v>
      </c>
      <c r="M53" t="s">
        <v>125</v>
      </c>
      <c r="N53" t="s">
        <v>14</v>
      </c>
      <c r="O53" t="s">
        <v>139</v>
      </c>
      <c r="P53">
        <f t="shared" si="10"/>
        <v>22</v>
      </c>
      <c r="Q53">
        <f t="shared" si="11"/>
        <v>-28</v>
      </c>
      <c r="R53" t="str">
        <f t="array" ref="R53">_xlfn.XLOOKUP(Table1[[#This Row],[Product ID]],Table2[[#All],[Product ID]],Table2[[#All],[Category]])</f>
        <v>Books</v>
      </c>
      <c r="S53" t="str">
        <f t="array" ref="S53">_xlfn.XLOOKUP(Table1[[#This Row],[Customer ID]],Table4[[#All],[Customer ID]],Table4[[#All],[Customer Name]])</f>
        <v>Harper Young</v>
      </c>
      <c r="T53" t="str">
        <f t="shared" si="12"/>
        <v>Fast</v>
      </c>
      <c r="U53" s="1">
        <f t="shared" si="13"/>
        <v>44928</v>
      </c>
      <c r="V53" t="str">
        <f t="shared" si="14"/>
        <v>Delivered</v>
      </c>
      <c r="W53">
        <f t="shared" si="7"/>
        <v>0</v>
      </c>
      <c r="X53" t="str">
        <f>VLOOKUP(H53,ProductMaster!$A$1:$E$23,2,0)</f>
        <v>Novel</v>
      </c>
    </row>
    <row r="54" spans="1:24" x14ac:dyDescent="0.35">
      <c r="A54" t="s">
        <v>213</v>
      </c>
      <c r="B54" s="1">
        <v>45289</v>
      </c>
      <c r="C54" t="str">
        <f t="shared" si="8"/>
        <v>Dec</v>
      </c>
      <c r="D54" t="str">
        <f t="shared" si="9"/>
        <v>2023</v>
      </c>
      <c r="E54" s="1">
        <v>45292</v>
      </c>
      <c r="G54" t="s">
        <v>153</v>
      </c>
      <c r="H54" t="s">
        <v>189</v>
      </c>
      <c r="I54" t="s">
        <v>4</v>
      </c>
      <c r="J54">
        <v>218</v>
      </c>
      <c r="K54">
        <v>5</v>
      </c>
      <c r="L54">
        <v>1090</v>
      </c>
      <c r="M54" t="s">
        <v>113</v>
      </c>
      <c r="N54" t="s">
        <v>14</v>
      </c>
      <c r="O54" t="s">
        <v>103</v>
      </c>
      <c r="P54">
        <f t="shared" si="10"/>
        <v>1090</v>
      </c>
      <c r="Q54">
        <f t="shared" si="11"/>
        <v>3</v>
      </c>
      <c r="R54" t="str">
        <f t="array" ref="R54">_xlfn.XLOOKUP(Table1[[#This Row],[Product ID]],Table2[[#All],[Product ID]],Table2[[#All],[Category]])</f>
        <v>Home</v>
      </c>
      <c r="S54" t="str">
        <f t="array" ref="S54">_xlfn.XLOOKUP(Table1[[#This Row],[Customer ID]],Table4[[#All],[Customer ID]],Table4[[#All],[Customer Name]])</f>
        <v>Mason Hall</v>
      </c>
      <c r="T54" t="str">
        <f t="shared" si="12"/>
        <v>Slow</v>
      </c>
      <c r="U54" s="1">
        <f t="shared" si="13"/>
        <v>45292</v>
      </c>
      <c r="V54" t="str">
        <f t="shared" si="14"/>
        <v>Delivered</v>
      </c>
      <c r="W54">
        <f t="shared" si="7"/>
        <v>0</v>
      </c>
      <c r="X54" t="str">
        <f>VLOOKUP(H54,ProductMaster!$A$1:$E$23,2,0)</f>
        <v>Cookware Set Pro</v>
      </c>
    </row>
    <row r="55" spans="1:24" x14ac:dyDescent="0.35">
      <c r="A55" t="s">
        <v>214</v>
      </c>
      <c r="B55" s="1">
        <v>45080</v>
      </c>
      <c r="C55" t="str">
        <f t="shared" si="8"/>
        <v>Jun</v>
      </c>
      <c r="D55" t="str">
        <f t="shared" si="9"/>
        <v>2023</v>
      </c>
      <c r="F55" s="1">
        <v>44998</v>
      </c>
      <c r="G55" t="s">
        <v>172</v>
      </c>
      <c r="H55" t="s">
        <v>197</v>
      </c>
      <c r="I55" t="s">
        <v>22</v>
      </c>
      <c r="J55">
        <v>64</v>
      </c>
      <c r="K55">
        <v>1</v>
      </c>
      <c r="L55">
        <v>64</v>
      </c>
      <c r="M55" t="s">
        <v>102</v>
      </c>
      <c r="N55" t="s">
        <v>12</v>
      </c>
      <c r="O55" t="s">
        <v>110</v>
      </c>
      <c r="P55">
        <f t="shared" si="10"/>
        <v>64</v>
      </c>
      <c r="Q55" t="str">
        <f t="shared" si="11"/>
        <v/>
      </c>
      <c r="R55" t="str">
        <f t="array" ref="R55">_xlfn.XLOOKUP(Table1[[#This Row],[Product ID]],Table2[[#All],[Product ID]],Table2[[#All],[Category]])</f>
        <v>Toys</v>
      </c>
      <c r="S55" t="str">
        <f t="array" ref="S55">_xlfn.XLOOKUP(Table1[[#This Row],[Customer ID]],Table4[[#All],[Customer ID]],Table4[[#All],[Customer Name]])</f>
        <v>Grace Scott</v>
      </c>
      <c r="T55" t="str">
        <f t="shared" si="12"/>
        <v>Fast</v>
      </c>
      <c r="U55" s="1" t="str">
        <f t="shared" si="13"/>
        <v>Cancellations</v>
      </c>
      <c r="V55" t="str">
        <f t="shared" si="14"/>
        <v>Cancelled</v>
      </c>
      <c r="W55">
        <f t="shared" si="7"/>
        <v>1</v>
      </c>
      <c r="X55" t="str">
        <f>VLOOKUP(H55,ProductMaster!$A$1:$E$23,2,0)</f>
        <v>Leg Set</v>
      </c>
    </row>
    <row r="56" spans="1:24" x14ac:dyDescent="0.35">
      <c r="A56" t="s">
        <v>215</v>
      </c>
      <c r="B56" s="1">
        <v>44959</v>
      </c>
      <c r="C56" t="str">
        <f t="shared" si="8"/>
        <v>Feb</v>
      </c>
      <c r="D56" t="str">
        <f t="shared" si="9"/>
        <v>2023</v>
      </c>
      <c r="E56" s="1">
        <v>45079</v>
      </c>
      <c r="G56" t="s">
        <v>181</v>
      </c>
      <c r="H56" t="s">
        <v>128</v>
      </c>
      <c r="I56" t="s">
        <v>4</v>
      </c>
      <c r="J56">
        <v>36</v>
      </c>
      <c r="K56">
        <v>4</v>
      </c>
      <c r="L56">
        <v>144</v>
      </c>
      <c r="M56" t="s">
        <v>113</v>
      </c>
      <c r="N56" t="s">
        <v>14</v>
      </c>
      <c r="O56" t="s">
        <v>118</v>
      </c>
      <c r="P56">
        <f t="shared" si="10"/>
        <v>144</v>
      </c>
      <c r="Q56">
        <f t="shared" si="11"/>
        <v>120</v>
      </c>
      <c r="R56" t="str">
        <f t="array" ref="R56">_xlfn.XLOOKUP(Table1[[#This Row],[Product ID]],Table2[[#All],[Product ID]],Table2[[#All],[Category]])</f>
        <v>Home</v>
      </c>
      <c r="S56" t="str">
        <f t="array" ref="S56">_xlfn.XLOOKUP(Table1[[#This Row],[Customer ID]],Table4[[#All],[Customer ID]],Table4[[#All],[Customer Name]])</f>
        <v>Emily Johnson</v>
      </c>
      <c r="T56" t="str">
        <f t="shared" si="12"/>
        <v>Slow</v>
      </c>
      <c r="U56" s="1">
        <f t="shared" si="13"/>
        <v>45079</v>
      </c>
      <c r="V56" t="str">
        <f t="shared" si="14"/>
        <v>Delivered</v>
      </c>
      <c r="W56">
        <f t="shared" si="7"/>
        <v>0</v>
      </c>
      <c r="X56" t="str">
        <f>VLOOKUP(H56,ProductMaster!$A$1:$E$23,2,0)</f>
        <v>Wall Clock</v>
      </c>
    </row>
    <row r="57" spans="1:24" x14ac:dyDescent="0.35">
      <c r="A57" t="s">
        <v>216</v>
      </c>
      <c r="B57" s="1">
        <v>45217</v>
      </c>
      <c r="C57" t="str">
        <f t="shared" si="8"/>
        <v>Oct</v>
      </c>
      <c r="D57" t="str">
        <f t="shared" si="9"/>
        <v>2023</v>
      </c>
      <c r="E57" s="1">
        <v>45220</v>
      </c>
      <c r="G57" t="s">
        <v>217</v>
      </c>
      <c r="H57" t="s">
        <v>197</v>
      </c>
      <c r="I57" t="s">
        <v>29</v>
      </c>
      <c r="J57">
        <v>65</v>
      </c>
      <c r="K57">
        <v>1</v>
      </c>
      <c r="L57">
        <v>65</v>
      </c>
      <c r="M57" t="s">
        <v>121</v>
      </c>
      <c r="N57" t="s">
        <v>14</v>
      </c>
      <c r="O57" t="s">
        <v>139</v>
      </c>
      <c r="P57">
        <f t="shared" si="10"/>
        <v>65</v>
      </c>
      <c r="Q57">
        <f t="shared" si="11"/>
        <v>3</v>
      </c>
      <c r="R57" t="str">
        <f t="array" ref="R57">_xlfn.XLOOKUP(Table1[[#This Row],[Product ID]],Table2[[#All],[Product ID]],Table2[[#All],[Category]])</f>
        <v>Toys</v>
      </c>
      <c r="S57" t="str">
        <f t="array" ref="S57">_xlfn.XLOOKUP(Table1[[#This Row],[Customer ID]],Table4[[#All],[Customer ID]],Table4[[#All],[Customer Name]])</f>
        <v>Emma King</v>
      </c>
      <c r="T57" t="str">
        <f t="shared" si="12"/>
        <v>Slow</v>
      </c>
      <c r="U57" s="1">
        <f t="shared" si="13"/>
        <v>45220</v>
      </c>
      <c r="V57" t="str">
        <f t="shared" si="14"/>
        <v>Delivered</v>
      </c>
      <c r="W57">
        <f t="shared" si="7"/>
        <v>0</v>
      </c>
      <c r="X57" t="str">
        <f>VLOOKUP(H57,ProductMaster!$A$1:$E$23,2,0)</f>
        <v>Leg Set</v>
      </c>
    </row>
    <row r="58" spans="1:24" x14ac:dyDescent="0.35">
      <c r="A58" t="s">
        <v>218</v>
      </c>
      <c r="B58" s="1">
        <v>45108</v>
      </c>
      <c r="C58" t="str">
        <f t="shared" si="8"/>
        <v>Jul</v>
      </c>
      <c r="D58" t="str">
        <f t="shared" si="9"/>
        <v>2023</v>
      </c>
      <c r="E58" s="1">
        <v>45170</v>
      </c>
      <c r="G58" t="s">
        <v>158</v>
      </c>
      <c r="H58" t="s">
        <v>147</v>
      </c>
      <c r="I58" t="s">
        <v>4</v>
      </c>
      <c r="J58">
        <v>26</v>
      </c>
      <c r="K58">
        <v>1</v>
      </c>
      <c r="L58">
        <v>26</v>
      </c>
      <c r="M58" t="s">
        <v>102</v>
      </c>
      <c r="N58" t="s">
        <v>14</v>
      </c>
      <c r="O58" t="s">
        <v>103</v>
      </c>
      <c r="P58">
        <f t="shared" si="10"/>
        <v>26</v>
      </c>
      <c r="Q58">
        <f t="shared" si="11"/>
        <v>62</v>
      </c>
      <c r="R58" t="str">
        <f t="array" ref="R58">_xlfn.XLOOKUP(Table1[[#This Row],[Product ID]],Table2[[#All],[Product ID]],Table2[[#All],[Category]])</f>
        <v>Fashion</v>
      </c>
      <c r="S58" t="str">
        <f t="array" ref="S58">_xlfn.XLOOKUP(Table1[[#This Row],[Customer ID]],Table4[[#All],[Customer ID]],Table4[[#All],[Customer Name]])</f>
        <v>Emma King</v>
      </c>
      <c r="T58" t="str">
        <f t="shared" si="12"/>
        <v>Slow</v>
      </c>
      <c r="U58" s="1">
        <f t="shared" si="13"/>
        <v>45170</v>
      </c>
      <c r="V58" t="str">
        <f t="shared" si="14"/>
        <v>Delivered</v>
      </c>
      <c r="W58">
        <f t="shared" si="7"/>
        <v>0</v>
      </c>
      <c r="X58" t="str">
        <f>VLOOKUP(H58,ProductMaster!$A$1:$E$23,2,0)</f>
        <v>T-Shirt</v>
      </c>
    </row>
    <row r="59" spans="1:24" x14ac:dyDescent="0.35">
      <c r="A59" t="s">
        <v>219</v>
      </c>
      <c r="B59" s="1">
        <v>45143</v>
      </c>
      <c r="C59" t="str">
        <f t="shared" si="8"/>
        <v>Aug</v>
      </c>
      <c r="D59" t="str">
        <f t="shared" si="9"/>
        <v>2023</v>
      </c>
      <c r="G59" t="s">
        <v>100</v>
      </c>
      <c r="H59" t="s">
        <v>182</v>
      </c>
      <c r="I59" t="s">
        <v>22</v>
      </c>
      <c r="J59">
        <v>11</v>
      </c>
      <c r="K59">
        <v>5</v>
      </c>
      <c r="L59">
        <v>55</v>
      </c>
      <c r="M59" t="s">
        <v>107</v>
      </c>
      <c r="N59" t="s">
        <v>16</v>
      </c>
      <c r="O59" t="s">
        <v>139</v>
      </c>
      <c r="P59">
        <f t="shared" si="10"/>
        <v>55</v>
      </c>
      <c r="Q59" t="str">
        <f t="shared" si="11"/>
        <v/>
      </c>
      <c r="R59" t="str">
        <f t="array" ref="R59">_xlfn.XLOOKUP(Table1[[#This Row],[Product ID]],Table2[[#All],[Product ID]],Table2[[#All],[Category]])</f>
        <v>Books</v>
      </c>
      <c r="S59" t="str">
        <f t="array" ref="S59">_xlfn.XLOOKUP(Table1[[#This Row],[Customer ID]],Table4[[#All],[Customer ID]],Table4[[#All],[Customer Name]])</f>
        <v>Zoe Mitchell</v>
      </c>
      <c r="T59" t="str">
        <f t="shared" si="12"/>
        <v>Fast</v>
      </c>
      <c r="U59" s="1" t="str">
        <f t="shared" si="13"/>
        <v>Cancellations</v>
      </c>
      <c r="V59" t="str">
        <f t="shared" si="14"/>
        <v>Delivered</v>
      </c>
      <c r="W59">
        <f t="shared" si="7"/>
        <v>0</v>
      </c>
      <c r="X59" t="str">
        <f>VLOOKUP(H59,ProductMaster!$A$1:$E$23,2,0)</f>
        <v>Magazine</v>
      </c>
    </row>
    <row r="60" spans="1:24" x14ac:dyDescent="0.35">
      <c r="A60" t="s">
        <v>220</v>
      </c>
      <c r="B60" s="1">
        <v>44961</v>
      </c>
      <c r="C60" t="str">
        <f t="shared" si="8"/>
        <v>Feb</v>
      </c>
      <c r="D60" t="str">
        <f t="shared" si="9"/>
        <v>2023</v>
      </c>
      <c r="F60" s="1">
        <v>45050</v>
      </c>
      <c r="G60" t="s">
        <v>221</v>
      </c>
      <c r="H60" t="s">
        <v>109</v>
      </c>
      <c r="I60" t="s">
        <v>22</v>
      </c>
      <c r="J60">
        <v>195</v>
      </c>
      <c r="K60">
        <v>4</v>
      </c>
      <c r="L60">
        <v>780</v>
      </c>
      <c r="M60" t="s">
        <v>113</v>
      </c>
      <c r="N60" t="s">
        <v>12</v>
      </c>
      <c r="O60" t="s">
        <v>139</v>
      </c>
      <c r="P60">
        <f t="shared" si="10"/>
        <v>780</v>
      </c>
      <c r="Q60" t="str">
        <f t="shared" si="11"/>
        <v/>
      </c>
      <c r="R60" t="str">
        <f t="array" ref="R60">_xlfn.XLOOKUP(Table1[[#This Row],[Product ID]],Table2[[#All],[Product ID]],Table2[[#All],[Category]])</f>
        <v>Home</v>
      </c>
      <c r="S60" t="str">
        <f t="array" ref="S60">_xlfn.XLOOKUP(Table1[[#This Row],[Customer ID]],Table4[[#All],[Customer ID]],Table4[[#All],[Customer Name]])</f>
        <v>Ethan Davis</v>
      </c>
      <c r="T60" t="str">
        <f t="shared" si="12"/>
        <v>Fast</v>
      </c>
      <c r="U60" s="1" t="str">
        <f t="shared" si="13"/>
        <v>Cancellations</v>
      </c>
      <c r="V60" t="str">
        <f t="shared" si="14"/>
        <v>Cancelled</v>
      </c>
      <c r="W60">
        <f t="shared" si="7"/>
        <v>1</v>
      </c>
      <c r="X60" t="str">
        <f>VLOOKUP(H60,ProductMaster!$A$1:$E$23,2,0)</f>
        <v>Vacuum Cleaner</v>
      </c>
    </row>
    <row r="61" spans="1:24" x14ac:dyDescent="0.35">
      <c r="A61" t="s">
        <v>222</v>
      </c>
      <c r="B61" s="1">
        <v>45240</v>
      </c>
      <c r="C61" t="str">
        <f t="shared" si="8"/>
        <v>Nov</v>
      </c>
      <c r="D61" t="str">
        <f t="shared" si="9"/>
        <v>2023</v>
      </c>
      <c r="F61" s="1">
        <v>45270</v>
      </c>
      <c r="G61" t="s">
        <v>127</v>
      </c>
      <c r="H61" t="s">
        <v>131</v>
      </c>
      <c r="I61" t="s">
        <v>29</v>
      </c>
      <c r="J61">
        <v>44</v>
      </c>
      <c r="K61">
        <v>5</v>
      </c>
      <c r="L61">
        <v>220</v>
      </c>
      <c r="M61" t="s">
        <v>102</v>
      </c>
      <c r="N61" t="s">
        <v>12</v>
      </c>
      <c r="O61" t="s">
        <v>110</v>
      </c>
      <c r="P61">
        <f t="shared" si="10"/>
        <v>220</v>
      </c>
      <c r="Q61" t="str">
        <f t="shared" si="11"/>
        <v/>
      </c>
      <c r="R61" t="str">
        <f t="array" ref="R61">_xlfn.XLOOKUP(Table1[[#This Row],[Product ID]],Table2[[#All],[Product ID]],Table2[[#All],[Category]])</f>
        <v>Fashion</v>
      </c>
      <c r="S61" t="str">
        <f t="array" ref="S61">_xlfn.XLOOKUP(Table1[[#This Row],[Customer ID]],Table4[[#All],[Customer ID]],Table4[[#All],[Customer Name]])</f>
        <v>Ava Robinson</v>
      </c>
      <c r="T61" t="str">
        <f t="shared" si="12"/>
        <v>Fast</v>
      </c>
      <c r="U61" s="1" t="str">
        <f t="shared" si="13"/>
        <v>Cancellations</v>
      </c>
      <c r="V61" t="str">
        <f t="shared" si="14"/>
        <v>Cancelled</v>
      </c>
      <c r="W61">
        <f t="shared" si="7"/>
        <v>1</v>
      </c>
      <c r="X61" t="str">
        <f>VLOOKUP(H61,ProductMaster!$A$1:$E$23,2,0)</f>
        <v>Formal Shirt</v>
      </c>
    </row>
    <row r="62" spans="1:24" x14ac:dyDescent="0.35">
      <c r="A62" t="s">
        <v>223</v>
      </c>
      <c r="B62" s="1">
        <v>45208</v>
      </c>
      <c r="C62" t="str">
        <f t="shared" si="8"/>
        <v>Oct</v>
      </c>
      <c r="D62" t="str">
        <f t="shared" si="9"/>
        <v>2023</v>
      </c>
      <c r="G62" t="s">
        <v>224</v>
      </c>
      <c r="H62" t="s">
        <v>154</v>
      </c>
      <c r="I62" t="s">
        <v>17</v>
      </c>
      <c r="J62">
        <v>69</v>
      </c>
      <c r="K62">
        <v>4</v>
      </c>
      <c r="L62">
        <v>276</v>
      </c>
      <c r="M62" t="s">
        <v>125</v>
      </c>
      <c r="N62" t="s">
        <v>16</v>
      </c>
      <c r="O62" t="s">
        <v>103</v>
      </c>
      <c r="P62">
        <f t="shared" si="10"/>
        <v>276</v>
      </c>
      <c r="Q62" t="str">
        <f t="shared" si="11"/>
        <v/>
      </c>
      <c r="R62" t="str">
        <f t="array" ref="R62">_xlfn.XLOOKUP(Table1[[#This Row],[Product ID]],Table2[[#All],[Product ID]],Table2[[#All],[Category]])</f>
        <v>Books</v>
      </c>
      <c r="S62" t="str">
        <f t="array" ref="S62">_xlfn.XLOOKUP(Table1[[#This Row],[Customer ID]],Table4[[#All],[Customer ID]],Table4[[#All],[Customer Name]])</f>
        <v>Scarlett Adams</v>
      </c>
      <c r="T62" t="str">
        <f t="shared" si="12"/>
        <v>Fast</v>
      </c>
      <c r="U62" s="1" t="str">
        <f t="shared" si="13"/>
        <v>Cancellations</v>
      </c>
      <c r="V62" t="str">
        <f t="shared" si="14"/>
        <v>Delivered</v>
      </c>
      <c r="W62">
        <f t="shared" si="7"/>
        <v>0</v>
      </c>
      <c r="X62" t="str">
        <f>VLOOKUP(H62,ProductMaster!$A$1:$E$23,2,0)</f>
        <v>Textbook</v>
      </c>
    </row>
    <row r="63" spans="1:24" x14ac:dyDescent="0.35">
      <c r="A63" t="s">
        <v>225</v>
      </c>
      <c r="B63" s="1">
        <v>45252</v>
      </c>
      <c r="C63" t="str">
        <f t="shared" si="8"/>
        <v>Nov</v>
      </c>
      <c r="D63" t="str">
        <f t="shared" si="9"/>
        <v>2023</v>
      </c>
      <c r="E63" s="1">
        <v>45259</v>
      </c>
      <c r="G63" t="s">
        <v>226</v>
      </c>
      <c r="H63" t="s">
        <v>159</v>
      </c>
      <c r="I63" t="s">
        <v>22</v>
      </c>
      <c r="J63">
        <v>815</v>
      </c>
      <c r="K63">
        <v>4</v>
      </c>
      <c r="L63">
        <v>3260</v>
      </c>
      <c r="M63" t="s">
        <v>107</v>
      </c>
      <c r="N63" t="s">
        <v>14</v>
      </c>
      <c r="O63" t="s">
        <v>110</v>
      </c>
      <c r="P63">
        <f t="shared" si="10"/>
        <v>3260</v>
      </c>
      <c r="Q63">
        <f t="shared" si="11"/>
        <v>7</v>
      </c>
      <c r="R63" t="str">
        <f t="array" ref="R63">_xlfn.XLOOKUP(Table1[[#This Row],[Product ID]],Table2[[#All],[Product ID]],Table2[[#All],[Category]])</f>
        <v>Electronics</v>
      </c>
      <c r="S63" t="str">
        <f t="array" ref="S63">_xlfn.XLOOKUP(Table1[[#This Row],[Customer ID]],Table4[[#All],[Customer ID]],Table4[[#All],[Customer Name]])</f>
        <v>Elijah Lewis</v>
      </c>
      <c r="T63" t="str">
        <f t="shared" si="12"/>
        <v>Slow</v>
      </c>
      <c r="U63" s="1">
        <f t="shared" si="13"/>
        <v>45259</v>
      </c>
      <c r="V63" t="str">
        <f t="shared" si="14"/>
        <v>Delivered</v>
      </c>
      <c r="W63">
        <f t="shared" si="7"/>
        <v>0</v>
      </c>
      <c r="X63" t="str">
        <f>VLOOKUP(H63,ProductMaster!$A$1:$E$23,2,0)</f>
        <v>Smartphone</v>
      </c>
    </row>
    <row r="64" spans="1:24" x14ac:dyDescent="0.35">
      <c r="A64" t="s">
        <v>227</v>
      </c>
      <c r="B64" s="1">
        <v>44962</v>
      </c>
      <c r="C64" t="str">
        <f t="shared" si="8"/>
        <v>Feb</v>
      </c>
      <c r="D64" t="str">
        <f t="shared" si="9"/>
        <v>2023</v>
      </c>
      <c r="G64" t="s">
        <v>228</v>
      </c>
      <c r="H64" t="s">
        <v>147</v>
      </c>
      <c r="I64" t="s">
        <v>17</v>
      </c>
      <c r="J64">
        <v>27</v>
      </c>
      <c r="K64">
        <v>1</v>
      </c>
      <c r="L64">
        <v>27</v>
      </c>
      <c r="M64" t="s">
        <v>125</v>
      </c>
      <c r="N64" t="s">
        <v>16</v>
      </c>
      <c r="O64" t="s">
        <v>118</v>
      </c>
      <c r="P64">
        <f t="shared" si="10"/>
        <v>27</v>
      </c>
      <c r="Q64" t="str">
        <f t="shared" si="11"/>
        <v/>
      </c>
      <c r="R64" t="str">
        <f t="array" ref="R64">_xlfn.XLOOKUP(Table1[[#This Row],[Product ID]],Table2[[#All],[Product ID]],Table2[[#All],[Category]])</f>
        <v>Fashion</v>
      </c>
      <c r="S64" t="str">
        <f t="array" ref="S64">_xlfn.XLOOKUP(Table1[[#This Row],[Customer ID]],Table4[[#All],[Customer ID]],Table4[[#All],[Customer Name]])</f>
        <v>Noah Wilson</v>
      </c>
      <c r="T64" t="str">
        <f t="shared" si="12"/>
        <v>Fast</v>
      </c>
      <c r="U64" s="1" t="str">
        <f t="shared" si="13"/>
        <v>Cancellations</v>
      </c>
      <c r="V64" t="str">
        <f t="shared" si="14"/>
        <v>Delivered</v>
      </c>
      <c r="W64">
        <f t="shared" si="7"/>
        <v>0</v>
      </c>
      <c r="X64" t="str">
        <f>VLOOKUP(H64,ProductMaster!$A$1:$E$23,2,0)</f>
        <v>T-Shirt</v>
      </c>
    </row>
    <row r="65" spans="1:24" x14ac:dyDescent="0.35">
      <c r="A65" t="s">
        <v>229</v>
      </c>
      <c r="B65" s="1">
        <v>45285</v>
      </c>
      <c r="C65" t="str">
        <f t="shared" si="8"/>
        <v>Dec</v>
      </c>
      <c r="D65" t="str">
        <f t="shared" si="9"/>
        <v>2023</v>
      </c>
      <c r="E65" s="1">
        <v>45289</v>
      </c>
      <c r="G65" t="s">
        <v>230</v>
      </c>
      <c r="H65" t="s">
        <v>133</v>
      </c>
      <c r="I65" t="s">
        <v>29</v>
      </c>
      <c r="J65">
        <v>139</v>
      </c>
      <c r="K65">
        <v>5</v>
      </c>
      <c r="L65">
        <v>695</v>
      </c>
      <c r="M65" t="s">
        <v>102</v>
      </c>
      <c r="N65" t="s">
        <v>14</v>
      </c>
      <c r="O65" t="s">
        <v>110</v>
      </c>
      <c r="P65">
        <f t="shared" si="10"/>
        <v>695</v>
      </c>
      <c r="Q65">
        <f t="shared" si="11"/>
        <v>4</v>
      </c>
      <c r="R65" t="str">
        <f t="array" ref="R65">_xlfn.XLOOKUP(Table1[[#This Row],[Product ID]],Table2[[#All],[Product ID]],Table2[[#All],[Category]])</f>
        <v>Home</v>
      </c>
      <c r="S65" t="str">
        <f t="array" ref="S65">_xlfn.XLOOKUP(Table1[[#This Row],[Customer ID]],Table4[[#All],[Customer ID]],Table4[[#All],[Customer Name]])</f>
        <v>Noah Wilson</v>
      </c>
      <c r="T65" t="str">
        <f t="shared" si="12"/>
        <v>Slow</v>
      </c>
      <c r="U65" s="1">
        <f t="shared" si="13"/>
        <v>45289</v>
      </c>
      <c r="V65" t="str">
        <f t="shared" si="14"/>
        <v>Delivered</v>
      </c>
      <c r="W65">
        <f t="shared" si="7"/>
        <v>0</v>
      </c>
      <c r="X65" t="str">
        <f>VLOOKUP(H65,ProductMaster!$A$1:$E$23,2,0)</f>
        <v>Cookware Set</v>
      </c>
    </row>
    <row r="66" spans="1:24" x14ac:dyDescent="0.35">
      <c r="A66" t="s">
        <v>231</v>
      </c>
      <c r="B66" s="1">
        <v>45217</v>
      </c>
      <c r="C66" t="str">
        <f t="shared" ref="C66:C97" si="15">TEXT(B66,"mmm")</f>
        <v>Oct</v>
      </c>
      <c r="D66" t="str">
        <f t="shared" ref="D66:D101" si="16">TEXT(B66,"yyy")</f>
        <v>2023</v>
      </c>
      <c r="F66" s="1">
        <v>45219</v>
      </c>
      <c r="G66" t="s">
        <v>120</v>
      </c>
      <c r="H66" t="s">
        <v>154</v>
      </c>
      <c r="I66" t="s">
        <v>27</v>
      </c>
      <c r="J66">
        <v>69</v>
      </c>
      <c r="K66">
        <v>3</v>
      </c>
      <c r="L66">
        <v>207</v>
      </c>
      <c r="M66" t="s">
        <v>113</v>
      </c>
      <c r="N66" t="s">
        <v>12</v>
      </c>
      <c r="O66" t="s">
        <v>118</v>
      </c>
      <c r="P66">
        <f t="shared" ref="P66:P101" si="17">K66*J66</f>
        <v>207</v>
      </c>
      <c r="Q66" t="str">
        <f t="shared" ref="Q66:Q101" si="18">IF(N66="Delivered",E66-B66,"")</f>
        <v/>
      </c>
      <c r="R66" t="str">
        <f t="array" ref="R66">_xlfn.XLOOKUP(Table1[[#This Row],[Product ID]],Table2[[#All],[Product ID]],Table2[[#All],[Category]])</f>
        <v>Books</v>
      </c>
      <c r="S66" t="str">
        <f t="array" ref="S66">_xlfn.XLOOKUP(Table1[[#This Row],[Customer ID]],Table4[[#All],[Customer ID]],Table4[[#All],[Customer Name]])</f>
        <v>Jackson Allen</v>
      </c>
      <c r="T66" t="str">
        <f t="shared" ref="T66:T101" si="19">IF(E66-B66&lt;=2,"Fast","Slow")</f>
        <v>Fast</v>
      </c>
      <c r="U66" s="1" t="str">
        <f t="shared" ref="U66:U101" si="20">IFERROR(IF(E66="","Cancellations",E66),0)</f>
        <v>Cancellations</v>
      </c>
      <c r="V66" t="str">
        <f t="shared" ref="V66:V101" si="21">IF(OR(F66&lt;&gt;"",N66="Cancelled"),"Cancelled","Delivered")</f>
        <v>Cancelled</v>
      </c>
      <c r="W66">
        <f t="shared" si="7"/>
        <v>1</v>
      </c>
      <c r="X66" t="str">
        <f>VLOOKUP(H66,ProductMaster!$A$1:$E$23,2,0)</f>
        <v>Textbook</v>
      </c>
    </row>
    <row r="67" spans="1:24" x14ac:dyDescent="0.35">
      <c r="A67" t="s">
        <v>232</v>
      </c>
      <c r="B67" s="1">
        <v>45066</v>
      </c>
      <c r="C67" t="str">
        <f t="shared" si="15"/>
        <v>May</v>
      </c>
      <c r="D67" t="str">
        <f t="shared" si="16"/>
        <v>2023</v>
      </c>
      <c r="F67" s="1">
        <v>45067</v>
      </c>
      <c r="G67" t="s">
        <v>120</v>
      </c>
      <c r="H67" t="s">
        <v>131</v>
      </c>
      <c r="I67" t="s">
        <v>29</v>
      </c>
      <c r="J67">
        <v>42</v>
      </c>
      <c r="K67">
        <v>1</v>
      </c>
      <c r="L67">
        <v>42</v>
      </c>
      <c r="M67" t="s">
        <v>102</v>
      </c>
      <c r="N67" t="s">
        <v>12</v>
      </c>
      <c r="O67" t="s">
        <v>103</v>
      </c>
      <c r="P67">
        <f t="shared" si="17"/>
        <v>42</v>
      </c>
      <c r="Q67" t="str">
        <f t="shared" si="18"/>
        <v/>
      </c>
      <c r="R67" t="str">
        <f t="array" ref="R67">_xlfn.XLOOKUP(Table1[[#This Row],[Product ID]],Table2[[#All],[Product ID]],Table2[[#All],[Category]])</f>
        <v>Fashion</v>
      </c>
      <c r="S67" t="str">
        <f t="array" ref="S67">_xlfn.XLOOKUP(Table1[[#This Row],[Customer ID]],Table4[[#All],[Customer ID]],Table4[[#All],[Customer Name]])</f>
        <v>Jackson Allen</v>
      </c>
      <c r="T67" t="str">
        <f t="shared" si="19"/>
        <v>Fast</v>
      </c>
      <c r="U67" s="1" t="str">
        <f t="shared" si="20"/>
        <v>Cancellations</v>
      </c>
      <c r="V67" t="str">
        <f t="shared" si="21"/>
        <v>Cancelled</v>
      </c>
      <c r="W67">
        <f t="shared" ref="W67:W101" si="22">IF(V67="Cancelled",1,0)</f>
        <v>1</v>
      </c>
      <c r="X67" t="str">
        <f>VLOOKUP(H67,ProductMaster!$A$1:$E$23,2,0)</f>
        <v>Formal Shirt</v>
      </c>
    </row>
    <row r="68" spans="1:24" x14ac:dyDescent="0.35">
      <c r="A68" t="s">
        <v>233</v>
      </c>
      <c r="B68" s="1">
        <v>45135</v>
      </c>
      <c r="C68" t="str">
        <f t="shared" si="15"/>
        <v>Jul</v>
      </c>
      <c r="D68" t="str">
        <f t="shared" si="16"/>
        <v>2023</v>
      </c>
      <c r="E68" s="1">
        <v>45137</v>
      </c>
      <c r="G68" t="s">
        <v>234</v>
      </c>
      <c r="H68" t="s">
        <v>192</v>
      </c>
      <c r="I68" t="s">
        <v>22</v>
      </c>
      <c r="J68">
        <v>31</v>
      </c>
      <c r="K68">
        <v>4</v>
      </c>
      <c r="L68">
        <v>124</v>
      </c>
      <c r="M68" t="s">
        <v>107</v>
      </c>
      <c r="N68" t="s">
        <v>14</v>
      </c>
      <c r="O68" t="s">
        <v>114</v>
      </c>
      <c r="P68">
        <f t="shared" si="17"/>
        <v>124</v>
      </c>
      <c r="Q68">
        <f t="shared" si="18"/>
        <v>2</v>
      </c>
      <c r="R68" t="str">
        <f t="array" ref="R68">_xlfn.XLOOKUP(Table1[[#This Row],[Product ID]],Table2[[#All],[Product ID]],Table2[[#All],[Category]])</f>
        <v>Toys</v>
      </c>
      <c r="S68" t="e">
        <f t="array" ref="S68">_xlfn.XLOOKUP(Table1[[#This Row],[Customer ID]],Table4[[#All],[Customer ID]],Table4[[#All],[Customer Name]])</f>
        <v>#N/A</v>
      </c>
      <c r="T68" t="str">
        <f t="shared" si="19"/>
        <v>Fast</v>
      </c>
      <c r="U68" s="1">
        <f t="shared" si="20"/>
        <v>45137</v>
      </c>
      <c r="V68" t="str">
        <f t="shared" si="21"/>
        <v>Delivered</v>
      </c>
      <c r="W68">
        <f t="shared" si="22"/>
        <v>0</v>
      </c>
      <c r="X68" t="str">
        <f>VLOOKUP(H68,ProductMaster!$A$1:$E$23,2,0)</f>
        <v>Puzzle</v>
      </c>
    </row>
    <row r="69" spans="1:24" x14ac:dyDescent="0.35">
      <c r="A69" t="s">
        <v>235</v>
      </c>
      <c r="B69" s="1">
        <v>45278</v>
      </c>
      <c r="C69" t="str">
        <f t="shared" si="15"/>
        <v>Dec</v>
      </c>
      <c r="D69" t="str">
        <f t="shared" si="16"/>
        <v>2023</v>
      </c>
      <c r="G69" t="s">
        <v>138</v>
      </c>
      <c r="H69" t="s">
        <v>124</v>
      </c>
      <c r="I69" t="s">
        <v>29</v>
      </c>
      <c r="J69">
        <v>104</v>
      </c>
      <c r="K69">
        <v>3</v>
      </c>
      <c r="L69">
        <v>312</v>
      </c>
      <c r="M69" t="s">
        <v>107</v>
      </c>
      <c r="N69" t="s">
        <v>16</v>
      </c>
      <c r="O69" t="s">
        <v>114</v>
      </c>
      <c r="P69">
        <f t="shared" si="17"/>
        <v>312</v>
      </c>
      <c r="Q69" t="str">
        <f t="shared" si="18"/>
        <v/>
      </c>
      <c r="R69" t="str">
        <f t="array" ref="R69">_xlfn.XLOOKUP(Table1[[#This Row],[Product ID]],Table2[[#All],[Product ID]],Table2[[#All],[Category]])</f>
        <v>Electronics</v>
      </c>
      <c r="S69" t="str">
        <f t="array" ref="S69">_xlfn.XLOOKUP(Table1[[#This Row],[Customer ID]],Table4[[#All],[Customer ID]],Table4[[#All],[Customer Name]])</f>
        <v>Emily Johnson</v>
      </c>
      <c r="T69" t="str">
        <f t="shared" si="19"/>
        <v>Fast</v>
      </c>
      <c r="U69" s="1" t="str">
        <f t="shared" si="20"/>
        <v>Cancellations</v>
      </c>
      <c r="V69" t="str">
        <f t="shared" si="21"/>
        <v>Delivered</v>
      </c>
      <c r="W69">
        <f t="shared" si="22"/>
        <v>0</v>
      </c>
      <c r="X69" t="str">
        <f>VLOOKUP(H69,ProductMaster!$A$1:$E$23,2,0)</f>
        <v>Bluetooth Speaker</v>
      </c>
    </row>
    <row r="70" spans="1:24" x14ac:dyDescent="0.35">
      <c r="A70" t="s">
        <v>236</v>
      </c>
      <c r="B70" s="1">
        <v>44964</v>
      </c>
      <c r="C70" t="str">
        <f t="shared" si="15"/>
        <v>Feb</v>
      </c>
      <c r="D70" t="str">
        <f t="shared" si="16"/>
        <v>2023</v>
      </c>
      <c r="F70" s="1">
        <v>45114</v>
      </c>
      <c r="G70" t="s">
        <v>112</v>
      </c>
      <c r="H70" t="s">
        <v>117</v>
      </c>
      <c r="I70" t="s">
        <v>17</v>
      </c>
      <c r="J70">
        <v>58</v>
      </c>
      <c r="K70">
        <v>2</v>
      </c>
      <c r="L70">
        <v>116</v>
      </c>
      <c r="M70" t="s">
        <v>102</v>
      </c>
      <c r="N70" t="s">
        <v>12</v>
      </c>
      <c r="O70" t="s">
        <v>110</v>
      </c>
      <c r="P70">
        <f t="shared" si="17"/>
        <v>116</v>
      </c>
      <c r="Q70" t="str">
        <f t="shared" si="18"/>
        <v/>
      </c>
      <c r="R70" t="str">
        <f t="array" ref="R70">_xlfn.XLOOKUP(Table1[[#This Row],[Product ID]],Table2[[#All],[Product ID]],Table2[[#All],[Category]])</f>
        <v>Fashion</v>
      </c>
      <c r="S70" t="str">
        <f t="array" ref="S70">_xlfn.XLOOKUP(Table1[[#This Row],[Customer ID]],Table4[[#All],[Customer ID]],Table4[[#All],[Customer Name]])</f>
        <v>Grace Ward</v>
      </c>
      <c r="T70" t="str">
        <f t="shared" si="19"/>
        <v>Fast</v>
      </c>
      <c r="U70" s="1" t="str">
        <f t="shared" si="20"/>
        <v>Cancellations</v>
      </c>
      <c r="V70" t="str">
        <f t="shared" si="21"/>
        <v>Cancelled</v>
      </c>
      <c r="W70">
        <f t="shared" si="22"/>
        <v>1</v>
      </c>
      <c r="X70" t="str">
        <f>VLOOKUP(H70,ProductMaster!$A$1:$E$23,2,0)</f>
        <v>Jeans</v>
      </c>
    </row>
    <row r="71" spans="1:24" x14ac:dyDescent="0.35">
      <c r="A71" t="s">
        <v>237</v>
      </c>
      <c r="B71" s="1">
        <v>45179</v>
      </c>
      <c r="C71" t="str">
        <f t="shared" si="15"/>
        <v>Sep</v>
      </c>
      <c r="D71" t="str">
        <f t="shared" si="16"/>
        <v>2023</v>
      </c>
      <c r="F71" s="1">
        <v>45209</v>
      </c>
      <c r="G71" t="s">
        <v>120</v>
      </c>
      <c r="H71" t="s">
        <v>197</v>
      </c>
      <c r="I71" t="s">
        <v>29</v>
      </c>
      <c r="J71">
        <v>62</v>
      </c>
      <c r="K71">
        <v>2</v>
      </c>
      <c r="L71">
        <v>124</v>
      </c>
      <c r="M71" t="s">
        <v>125</v>
      </c>
      <c r="N71" t="s">
        <v>12</v>
      </c>
      <c r="O71" t="s">
        <v>103</v>
      </c>
      <c r="P71">
        <f t="shared" si="17"/>
        <v>124</v>
      </c>
      <c r="Q71" t="str">
        <f t="shared" si="18"/>
        <v/>
      </c>
      <c r="R71" t="str">
        <f t="array" ref="R71">_xlfn.XLOOKUP(Table1[[#This Row],[Product ID]],Table2[[#All],[Product ID]],Table2[[#All],[Category]])</f>
        <v>Toys</v>
      </c>
      <c r="S71" t="str">
        <f t="array" ref="S71">_xlfn.XLOOKUP(Table1[[#This Row],[Customer ID]],Table4[[#All],[Customer ID]],Table4[[#All],[Customer Name]])</f>
        <v>Jackson Allen</v>
      </c>
      <c r="T71" t="str">
        <f t="shared" si="19"/>
        <v>Fast</v>
      </c>
      <c r="U71" s="1" t="str">
        <f t="shared" si="20"/>
        <v>Cancellations</v>
      </c>
      <c r="V71" t="str">
        <f t="shared" si="21"/>
        <v>Cancelled</v>
      </c>
      <c r="W71">
        <f t="shared" si="22"/>
        <v>1</v>
      </c>
      <c r="X71" t="str">
        <f>VLOOKUP(H71,ProductMaster!$A$1:$E$23,2,0)</f>
        <v>Leg Set</v>
      </c>
    </row>
    <row r="72" spans="1:24" x14ac:dyDescent="0.35">
      <c r="A72" t="s">
        <v>238</v>
      </c>
      <c r="B72" s="1">
        <v>45278</v>
      </c>
      <c r="C72" t="str">
        <f t="shared" si="15"/>
        <v>Dec</v>
      </c>
      <c r="D72" t="str">
        <f t="shared" si="16"/>
        <v>2023</v>
      </c>
      <c r="E72" s="1">
        <v>45285</v>
      </c>
      <c r="G72" t="s">
        <v>196</v>
      </c>
      <c r="H72" t="s">
        <v>131</v>
      </c>
      <c r="I72" t="s">
        <v>17</v>
      </c>
      <c r="J72">
        <v>43</v>
      </c>
      <c r="K72">
        <v>1</v>
      </c>
      <c r="L72">
        <v>43</v>
      </c>
      <c r="M72" t="s">
        <v>107</v>
      </c>
      <c r="N72" t="s">
        <v>14</v>
      </c>
      <c r="O72" t="s">
        <v>118</v>
      </c>
      <c r="P72">
        <f t="shared" si="17"/>
        <v>43</v>
      </c>
      <c r="Q72">
        <f t="shared" si="18"/>
        <v>7</v>
      </c>
      <c r="R72" t="str">
        <f t="array" ref="R72">_xlfn.XLOOKUP(Table1[[#This Row],[Product ID]],Table2[[#All],[Product ID]],Table2[[#All],[Category]])</f>
        <v>Fashion</v>
      </c>
      <c r="S72" t="str">
        <f t="array" ref="S72">_xlfn.XLOOKUP(Table1[[#This Row],[Customer ID]],Table4[[#All],[Customer ID]],Table4[[#All],[Customer Name]])</f>
        <v>Ava Robinson</v>
      </c>
      <c r="T72" t="str">
        <f t="shared" si="19"/>
        <v>Slow</v>
      </c>
      <c r="U72" s="1">
        <f t="shared" si="20"/>
        <v>45285</v>
      </c>
      <c r="V72" t="str">
        <f t="shared" si="21"/>
        <v>Delivered</v>
      </c>
      <c r="W72">
        <f t="shared" si="22"/>
        <v>0</v>
      </c>
      <c r="X72" t="str">
        <f>VLOOKUP(H72,ProductMaster!$A$1:$E$23,2,0)</f>
        <v>Formal Shirt</v>
      </c>
    </row>
    <row r="73" spans="1:24" x14ac:dyDescent="0.35">
      <c r="A73" t="s">
        <v>239</v>
      </c>
      <c r="B73" s="1">
        <v>45110</v>
      </c>
      <c r="C73" t="str">
        <f t="shared" si="15"/>
        <v>Jul</v>
      </c>
      <c r="D73" t="str">
        <f t="shared" si="16"/>
        <v>2023</v>
      </c>
      <c r="G73" t="s">
        <v>226</v>
      </c>
      <c r="H73" t="s">
        <v>197</v>
      </c>
      <c r="I73" t="s">
        <v>17</v>
      </c>
      <c r="J73">
        <v>62</v>
      </c>
      <c r="K73">
        <v>4</v>
      </c>
      <c r="L73">
        <v>248</v>
      </c>
      <c r="M73" t="s">
        <v>125</v>
      </c>
      <c r="N73" t="s">
        <v>16</v>
      </c>
      <c r="O73" t="s">
        <v>118</v>
      </c>
      <c r="P73">
        <f t="shared" si="17"/>
        <v>248</v>
      </c>
      <c r="Q73" t="str">
        <f t="shared" si="18"/>
        <v/>
      </c>
      <c r="R73" t="str">
        <f t="array" ref="R73">_xlfn.XLOOKUP(Table1[[#This Row],[Product ID]],Table2[[#All],[Product ID]],Table2[[#All],[Category]])</f>
        <v>Toys</v>
      </c>
      <c r="S73" t="str">
        <f t="array" ref="S73">_xlfn.XLOOKUP(Table1[[#This Row],[Customer ID]],Table4[[#All],[Customer ID]],Table4[[#All],[Customer Name]])</f>
        <v>Elijah Lewis</v>
      </c>
      <c r="T73" t="str">
        <f t="shared" si="19"/>
        <v>Fast</v>
      </c>
      <c r="U73" s="1" t="str">
        <f t="shared" si="20"/>
        <v>Cancellations</v>
      </c>
      <c r="V73" t="str">
        <f t="shared" si="21"/>
        <v>Delivered</v>
      </c>
      <c r="W73">
        <f t="shared" si="22"/>
        <v>0</v>
      </c>
      <c r="X73" t="str">
        <f>VLOOKUP(H73,ProductMaster!$A$1:$E$23,2,0)</f>
        <v>Leg Set</v>
      </c>
    </row>
    <row r="74" spans="1:24" x14ac:dyDescent="0.35">
      <c r="A74" t="s">
        <v>240</v>
      </c>
      <c r="B74" s="1">
        <v>45129</v>
      </c>
      <c r="C74" t="str">
        <f t="shared" si="15"/>
        <v>Jul</v>
      </c>
      <c r="D74" t="str">
        <f t="shared" si="16"/>
        <v>2023</v>
      </c>
      <c r="F74" s="1">
        <v>44982</v>
      </c>
      <c r="G74" t="s">
        <v>165</v>
      </c>
      <c r="H74" t="s">
        <v>142</v>
      </c>
      <c r="I74" t="s">
        <v>22</v>
      </c>
      <c r="J74">
        <v>95</v>
      </c>
      <c r="K74">
        <v>2</v>
      </c>
      <c r="L74">
        <v>190</v>
      </c>
      <c r="M74" t="s">
        <v>113</v>
      </c>
      <c r="N74" t="s">
        <v>12</v>
      </c>
      <c r="O74" t="s">
        <v>114</v>
      </c>
      <c r="P74">
        <f t="shared" si="17"/>
        <v>190</v>
      </c>
      <c r="Q74" t="str">
        <f t="shared" si="18"/>
        <v/>
      </c>
      <c r="R74" t="str">
        <f t="array" ref="R74">_xlfn.XLOOKUP(Table1[[#This Row],[Product ID]],Table2[[#All],[Product ID]],Table2[[#All],[Category]])</f>
        <v>Fashion</v>
      </c>
      <c r="S74" t="str">
        <f t="array" ref="S74">_xlfn.XLOOKUP(Table1[[#This Row],[Customer ID]],Table4[[#All],[Customer ID]],Table4[[#All],[Customer Name]])</f>
        <v>Lily Bennett</v>
      </c>
      <c r="T74" t="str">
        <f t="shared" si="19"/>
        <v>Fast</v>
      </c>
      <c r="U74" s="1" t="str">
        <f t="shared" si="20"/>
        <v>Cancellations</v>
      </c>
      <c r="V74" t="str">
        <f t="shared" si="21"/>
        <v>Cancelled</v>
      </c>
      <c r="W74">
        <f t="shared" si="22"/>
        <v>1</v>
      </c>
      <c r="X74" t="str">
        <f>VLOOKUP(H74,ProductMaster!$A$1:$E$23,2,0)</f>
        <v>Shoes</v>
      </c>
    </row>
    <row r="75" spans="1:24" x14ac:dyDescent="0.35">
      <c r="A75" t="s">
        <v>241</v>
      </c>
      <c r="B75" s="1">
        <v>44944</v>
      </c>
      <c r="C75" t="str">
        <f t="shared" si="15"/>
        <v>Jan</v>
      </c>
      <c r="D75" t="str">
        <f t="shared" si="16"/>
        <v>2023</v>
      </c>
      <c r="E75" s="1">
        <v>44950</v>
      </c>
      <c r="G75" t="s">
        <v>163</v>
      </c>
      <c r="H75" t="s">
        <v>128</v>
      </c>
      <c r="I75" t="s">
        <v>4</v>
      </c>
      <c r="J75">
        <v>36</v>
      </c>
      <c r="K75">
        <v>4</v>
      </c>
      <c r="L75">
        <v>144</v>
      </c>
      <c r="M75" t="s">
        <v>102</v>
      </c>
      <c r="N75" t="s">
        <v>14</v>
      </c>
      <c r="O75" t="s">
        <v>139</v>
      </c>
      <c r="P75">
        <f t="shared" si="17"/>
        <v>144</v>
      </c>
      <c r="Q75">
        <f t="shared" si="18"/>
        <v>6</v>
      </c>
      <c r="R75" t="str">
        <f t="array" ref="R75">_xlfn.XLOOKUP(Table1[[#This Row],[Product ID]],Table2[[#All],[Product ID]],Table2[[#All],[Category]])</f>
        <v>Home</v>
      </c>
      <c r="S75" t="str">
        <f t="array" ref="S75">_xlfn.XLOOKUP(Table1[[#This Row],[Customer ID]],Table4[[#All],[Customer ID]],Table4[[#All],[Customer Name]])</f>
        <v>Elijah Lewis</v>
      </c>
      <c r="T75" t="str">
        <f t="shared" si="19"/>
        <v>Slow</v>
      </c>
      <c r="U75" s="1">
        <f t="shared" si="20"/>
        <v>44950</v>
      </c>
      <c r="V75" t="str">
        <f t="shared" si="21"/>
        <v>Delivered</v>
      </c>
      <c r="W75">
        <f t="shared" si="22"/>
        <v>0</v>
      </c>
      <c r="X75" t="str">
        <f>VLOOKUP(H75,ProductMaster!$A$1:$E$23,2,0)</f>
        <v>Wall Clock</v>
      </c>
    </row>
    <row r="76" spans="1:24" x14ac:dyDescent="0.35">
      <c r="A76" t="s">
        <v>242</v>
      </c>
      <c r="B76" s="1">
        <v>45070</v>
      </c>
      <c r="C76" t="str">
        <f t="shared" si="15"/>
        <v>May</v>
      </c>
      <c r="D76" t="str">
        <f t="shared" si="16"/>
        <v>2023</v>
      </c>
      <c r="G76" t="s">
        <v>123</v>
      </c>
      <c r="H76" t="s">
        <v>145</v>
      </c>
      <c r="I76" t="s">
        <v>17</v>
      </c>
      <c r="J76">
        <v>73</v>
      </c>
      <c r="K76">
        <v>5</v>
      </c>
      <c r="L76">
        <v>365</v>
      </c>
      <c r="M76" t="s">
        <v>102</v>
      </c>
      <c r="N76" t="s">
        <v>16</v>
      </c>
      <c r="O76" t="s">
        <v>103</v>
      </c>
      <c r="P76">
        <f t="shared" si="17"/>
        <v>365</v>
      </c>
      <c r="Q76" t="str">
        <f t="shared" si="18"/>
        <v/>
      </c>
      <c r="R76" t="str">
        <f t="array" ref="R76">_xlfn.XLOOKUP(Table1[[#This Row],[Product ID]],Table2[[#All],[Product ID]],Table2[[#All],[Category]])</f>
        <v>Electronics</v>
      </c>
      <c r="S76" t="str">
        <f t="array" ref="S76">_xlfn.XLOOKUP(Table1[[#This Row],[Customer ID]],Table4[[#All],[Customer ID]],Table4[[#All],[Customer Name]])</f>
        <v>Noah Wilson</v>
      </c>
      <c r="T76" t="str">
        <f t="shared" si="19"/>
        <v>Fast</v>
      </c>
      <c r="U76" s="1" t="str">
        <f t="shared" si="20"/>
        <v>Cancellations</v>
      </c>
      <c r="V76" t="str">
        <f t="shared" si="21"/>
        <v>Delivered</v>
      </c>
      <c r="W76">
        <f t="shared" si="22"/>
        <v>0</v>
      </c>
      <c r="X76" t="str">
        <f>VLOOKUP(H76,ProductMaster!$A$1:$E$23,2,0)</f>
        <v>Gaming Mouse</v>
      </c>
    </row>
    <row r="77" spans="1:24" x14ac:dyDescent="0.35">
      <c r="A77" t="s">
        <v>243</v>
      </c>
      <c r="B77" s="1">
        <v>44994</v>
      </c>
      <c r="C77" t="str">
        <f t="shared" si="15"/>
        <v>Mar</v>
      </c>
      <c r="D77" t="str">
        <f t="shared" si="16"/>
        <v>2023</v>
      </c>
      <c r="E77" s="1">
        <v>45178</v>
      </c>
      <c r="G77" t="s">
        <v>141</v>
      </c>
      <c r="H77" t="s">
        <v>131</v>
      </c>
      <c r="I77" t="s">
        <v>22</v>
      </c>
      <c r="J77">
        <v>43</v>
      </c>
      <c r="K77">
        <v>4</v>
      </c>
      <c r="L77">
        <v>172</v>
      </c>
      <c r="M77" t="s">
        <v>125</v>
      </c>
      <c r="N77" t="s">
        <v>14</v>
      </c>
      <c r="O77" t="s">
        <v>103</v>
      </c>
      <c r="P77">
        <f t="shared" si="17"/>
        <v>172</v>
      </c>
      <c r="Q77">
        <f t="shared" si="18"/>
        <v>184</v>
      </c>
      <c r="R77" t="str">
        <f t="array" ref="R77">_xlfn.XLOOKUP(Table1[[#This Row],[Product ID]],Table2[[#All],[Product ID]],Table2[[#All],[Category]])</f>
        <v>Fashion</v>
      </c>
      <c r="S77" t="str">
        <f t="array" ref="S77">_xlfn.XLOOKUP(Table1[[#This Row],[Customer ID]],Table4[[#All],[Customer ID]],Table4[[#All],[Customer Name]])</f>
        <v>Charlotte Reed</v>
      </c>
      <c r="T77" t="str">
        <f t="shared" si="19"/>
        <v>Slow</v>
      </c>
      <c r="U77" s="1">
        <f t="shared" si="20"/>
        <v>45178</v>
      </c>
      <c r="V77" t="str">
        <f t="shared" si="21"/>
        <v>Delivered</v>
      </c>
      <c r="W77">
        <f t="shared" si="22"/>
        <v>0</v>
      </c>
      <c r="X77" t="str">
        <f>VLOOKUP(H77,ProductMaster!$A$1:$E$23,2,0)</f>
        <v>Formal Shirt</v>
      </c>
    </row>
    <row r="78" spans="1:24" x14ac:dyDescent="0.35">
      <c r="A78" t="s">
        <v>244</v>
      </c>
      <c r="B78" s="1">
        <v>44968</v>
      </c>
      <c r="C78" t="str">
        <f t="shared" si="15"/>
        <v>Feb</v>
      </c>
      <c r="D78" t="str">
        <f t="shared" si="16"/>
        <v>2023</v>
      </c>
      <c r="E78" s="1">
        <v>45027</v>
      </c>
      <c r="G78" t="s">
        <v>228</v>
      </c>
      <c r="H78" t="s">
        <v>189</v>
      </c>
      <c r="I78" t="s">
        <v>29</v>
      </c>
      <c r="J78">
        <v>214</v>
      </c>
      <c r="K78">
        <v>5</v>
      </c>
      <c r="L78">
        <v>1070</v>
      </c>
      <c r="M78" t="s">
        <v>125</v>
      </c>
      <c r="N78" t="s">
        <v>14</v>
      </c>
      <c r="O78" t="s">
        <v>114</v>
      </c>
      <c r="P78">
        <f t="shared" si="17"/>
        <v>1070</v>
      </c>
      <c r="Q78">
        <f t="shared" si="18"/>
        <v>59</v>
      </c>
      <c r="R78" t="str">
        <f t="array" ref="R78">_xlfn.XLOOKUP(Table1[[#This Row],[Product ID]],Table2[[#All],[Product ID]],Table2[[#All],[Category]])</f>
        <v>Home</v>
      </c>
      <c r="S78" t="str">
        <f t="array" ref="S78">_xlfn.XLOOKUP(Table1[[#This Row],[Customer ID]],Table4[[#All],[Customer ID]],Table4[[#All],[Customer Name]])</f>
        <v>Noah Wilson</v>
      </c>
      <c r="T78" t="str">
        <f t="shared" si="19"/>
        <v>Slow</v>
      </c>
      <c r="U78" s="1">
        <f t="shared" si="20"/>
        <v>45027</v>
      </c>
      <c r="V78" t="str">
        <f t="shared" si="21"/>
        <v>Delivered</v>
      </c>
      <c r="W78">
        <f t="shared" si="22"/>
        <v>0</v>
      </c>
      <c r="X78" t="str">
        <f>VLOOKUP(H78,ProductMaster!$A$1:$E$23,2,0)</f>
        <v>Cookware Set Pro</v>
      </c>
    </row>
    <row r="79" spans="1:24" x14ac:dyDescent="0.35">
      <c r="A79" t="s">
        <v>245</v>
      </c>
      <c r="B79" s="1">
        <v>44997</v>
      </c>
      <c r="C79" t="str">
        <f t="shared" si="15"/>
        <v>Mar</v>
      </c>
      <c r="D79" t="str">
        <f t="shared" si="16"/>
        <v>2023</v>
      </c>
      <c r="F79" s="1">
        <v>45089</v>
      </c>
      <c r="G79" t="s">
        <v>230</v>
      </c>
      <c r="H79" t="s">
        <v>168</v>
      </c>
      <c r="I79" t="s">
        <v>4</v>
      </c>
      <c r="J79">
        <v>42</v>
      </c>
      <c r="K79">
        <v>2</v>
      </c>
      <c r="L79">
        <v>84</v>
      </c>
      <c r="M79" t="s">
        <v>102</v>
      </c>
      <c r="N79" t="s">
        <v>12</v>
      </c>
      <c r="O79" t="s">
        <v>114</v>
      </c>
      <c r="P79">
        <f t="shared" si="17"/>
        <v>84</v>
      </c>
      <c r="Q79" t="str">
        <f t="shared" si="18"/>
        <v/>
      </c>
      <c r="R79" t="str">
        <f t="array" ref="R79">_xlfn.XLOOKUP(Table1[[#This Row],[Product ID]],Table2[[#All],[Product ID]],Table2[[#All],[Category]])</f>
        <v>Toys</v>
      </c>
      <c r="S79" t="str">
        <f t="array" ref="S79">_xlfn.XLOOKUP(Table1[[#This Row],[Customer ID]],Table4[[#All],[Customer ID]],Table4[[#All],[Customer Name]])</f>
        <v>Noah Wilson</v>
      </c>
      <c r="T79" t="str">
        <f t="shared" si="19"/>
        <v>Fast</v>
      </c>
      <c r="U79" s="1" t="str">
        <f t="shared" si="20"/>
        <v>Cancellations</v>
      </c>
      <c r="V79" t="str">
        <f t="shared" si="21"/>
        <v>Cancelled</v>
      </c>
      <c r="W79">
        <f t="shared" si="22"/>
        <v>1</v>
      </c>
      <c r="X79" t="str">
        <f>VLOOKUP(H79,ProductMaster!$A$1:$E$23,2,0)</f>
        <v>Action Figure</v>
      </c>
    </row>
    <row r="80" spans="1:24" x14ac:dyDescent="0.35">
      <c r="A80" t="s">
        <v>246</v>
      </c>
      <c r="B80" s="1">
        <v>44930</v>
      </c>
      <c r="C80" t="str">
        <f t="shared" si="15"/>
        <v>Jan</v>
      </c>
      <c r="D80" t="str">
        <f t="shared" si="16"/>
        <v>2023</v>
      </c>
      <c r="G80" t="s">
        <v>230</v>
      </c>
      <c r="H80" t="s">
        <v>101</v>
      </c>
      <c r="I80" t="s">
        <v>22</v>
      </c>
      <c r="J80">
        <v>46</v>
      </c>
      <c r="K80">
        <v>1</v>
      </c>
      <c r="L80">
        <v>46</v>
      </c>
      <c r="M80" t="s">
        <v>121</v>
      </c>
      <c r="N80" t="s">
        <v>16</v>
      </c>
      <c r="O80" t="s">
        <v>114</v>
      </c>
      <c r="P80">
        <f t="shared" si="17"/>
        <v>46</v>
      </c>
      <c r="Q80" t="str">
        <f t="shared" si="18"/>
        <v/>
      </c>
      <c r="R80" t="str">
        <f t="array" ref="R80">_xlfn.XLOOKUP(Table1[[#This Row],[Product ID]],Table2[[#All],[Product ID]],Table2[[#All],[Category]])</f>
        <v>Home</v>
      </c>
      <c r="S80" t="str">
        <f t="array" ref="S80">_xlfn.XLOOKUP(Table1[[#This Row],[Customer ID]],Table4[[#All],[Customer ID]],Table4[[#All],[Customer Name]])</f>
        <v>Noah Wilson</v>
      </c>
      <c r="T80" t="str">
        <f t="shared" si="19"/>
        <v>Fast</v>
      </c>
      <c r="U80" s="1" t="str">
        <f t="shared" si="20"/>
        <v>Cancellations</v>
      </c>
      <c r="V80" t="str">
        <f t="shared" si="21"/>
        <v>Delivered</v>
      </c>
      <c r="W80">
        <f t="shared" si="22"/>
        <v>0</v>
      </c>
      <c r="X80" t="str">
        <f>VLOOKUP(H80,ProductMaster!$A$1:$E$23,2,0)</f>
        <v>Lamp</v>
      </c>
    </row>
    <row r="81" spans="1:24" x14ac:dyDescent="0.35">
      <c r="A81" t="s">
        <v>247</v>
      </c>
      <c r="B81" s="1">
        <v>45215</v>
      </c>
      <c r="C81" t="str">
        <f t="shared" si="15"/>
        <v>Oct</v>
      </c>
      <c r="D81" t="str">
        <f t="shared" si="16"/>
        <v>2023</v>
      </c>
      <c r="E81" s="1">
        <v>45218</v>
      </c>
      <c r="G81" t="s">
        <v>186</v>
      </c>
      <c r="H81" t="s">
        <v>106</v>
      </c>
      <c r="I81" t="s">
        <v>17</v>
      </c>
      <c r="J81">
        <v>95</v>
      </c>
      <c r="K81">
        <v>4</v>
      </c>
      <c r="L81">
        <v>380</v>
      </c>
      <c r="M81" t="s">
        <v>107</v>
      </c>
      <c r="N81" t="s">
        <v>14</v>
      </c>
      <c r="O81" t="s">
        <v>114</v>
      </c>
      <c r="P81">
        <f t="shared" si="17"/>
        <v>380</v>
      </c>
      <c r="Q81">
        <f t="shared" si="18"/>
        <v>3</v>
      </c>
      <c r="R81" t="str">
        <f t="array" ref="R81">_xlfn.XLOOKUP(Table1[[#This Row],[Product ID]],Table2[[#All],[Product ID]],Table2[[#All],[Category]])</f>
        <v>Toys</v>
      </c>
      <c r="S81" t="str">
        <f t="array" ref="S81">_xlfn.XLOOKUP(Table1[[#This Row],[Customer ID]],Table4[[#All],[Customer ID]],Table4[[#All],[Customer Name]])</f>
        <v>Luke Gray</v>
      </c>
      <c r="T81" t="str">
        <f t="shared" si="19"/>
        <v>Slow</v>
      </c>
      <c r="U81" s="1">
        <f t="shared" si="20"/>
        <v>45218</v>
      </c>
      <c r="V81" t="str">
        <f t="shared" si="21"/>
        <v>Delivered</v>
      </c>
      <c r="W81">
        <f t="shared" si="22"/>
        <v>0</v>
      </c>
      <c r="X81" t="str">
        <f>VLOOKUP(H81,ProductMaster!$A$1:$E$23,2,0)</f>
        <v>Doll House</v>
      </c>
    </row>
    <row r="82" spans="1:24" x14ac:dyDescent="0.35">
      <c r="A82" t="s">
        <v>248</v>
      </c>
      <c r="B82" s="1">
        <v>45057</v>
      </c>
      <c r="C82" t="str">
        <f t="shared" si="15"/>
        <v>May</v>
      </c>
      <c r="D82" t="str">
        <f t="shared" si="16"/>
        <v>2023</v>
      </c>
      <c r="G82" t="s">
        <v>199</v>
      </c>
      <c r="H82" t="s">
        <v>187</v>
      </c>
      <c r="I82" t="s">
        <v>29</v>
      </c>
      <c r="J82">
        <v>174</v>
      </c>
      <c r="K82">
        <v>2</v>
      </c>
      <c r="L82">
        <v>348</v>
      </c>
      <c r="M82" t="s">
        <v>113</v>
      </c>
      <c r="N82" t="s">
        <v>16</v>
      </c>
      <c r="O82" t="s">
        <v>114</v>
      </c>
      <c r="P82">
        <f t="shared" si="17"/>
        <v>348</v>
      </c>
      <c r="Q82" t="str">
        <f t="shared" si="18"/>
        <v/>
      </c>
      <c r="R82" t="str">
        <f t="array" ref="R82">_xlfn.XLOOKUP(Table1[[#This Row],[Product ID]],Table2[[#All],[Product ID]],Table2[[#All],[Category]])</f>
        <v>Electronics</v>
      </c>
      <c r="S82" t="str">
        <f t="array" ref="S82">_xlfn.XLOOKUP(Table1[[#This Row],[Customer ID]],Table4[[#All],[Customer ID]],Table4[[#All],[Customer Name]])</f>
        <v>James Miller</v>
      </c>
      <c r="T82" t="str">
        <f t="shared" si="19"/>
        <v>Fast</v>
      </c>
      <c r="U82" s="1" t="str">
        <f t="shared" si="20"/>
        <v>Cancellations</v>
      </c>
      <c r="V82" t="str">
        <f t="shared" si="21"/>
        <v>Delivered</v>
      </c>
      <c r="W82">
        <f t="shared" si="22"/>
        <v>0</v>
      </c>
      <c r="X82" t="str">
        <f>VLOOKUP(H82,ProductMaster!$A$1:$E$23,2,0)</f>
        <v>Headphones</v>
      </c>
    </row>
    <row r="83" spans="1:24" x14ac:dyDescent="0.35">
      <c r="A83" t="s">
        <v>249</v>
      </c>
      <c r="B83" s="1">
        <v>45092</v>
      </c>
      <c r="C83" t="str">
        <f t="shared" si="15"/>
        <v>Jun</v>
      </c>
      <c r="D83" t="str">
        <f t="shared" si="16"/>
        <v>2023</v>
      </c>
      <c r="F83" s="1">
        <v>45095</v>
      </c>
      <c r="G83" t="s">
        <v>135</v>
      </c>
      <c r="H83" t="s">
        <v>147</v>
      </c>
      <c r="I83" t="s">
        <v>22</v>
      </c>
      <c r="J83">
        <v>27</v>
      </c>
      <c r="K83">
        <v>5</v>
      </c>
      <c r="L83">
        <v>135</v>
      </c>
      <c r="M83" t="s">
        <v>107</v>
      </c>
      <c r="N83" t="s">
        <v>12</v>
      </c>
      <c r="O83" t="s">
        <v>118</v>
      </c>
      <c r="P83">
        <f t="shared" si="17"/>
        <v>135</v>
      </c>
      <c r="Q83" t="str">
        <f t="shared" si="18"/>
        <v/>
      </c>
      <c r="R83" t="str">
        <f t="array" ref="R83">_xlfn.XLOOKUP(Table1[[#This Row],[Product ID]],Table2[[#All],[Product ID]],Table2[[#All],[Category]])</f>
        <v>Fashion</v>
      </c>
      <c r="S83" t="str">
        <f t="array" ref="S83">_xlfn.XLOOKUP(Table1[[#This Row],[Customer ID]],Table4[[#All],[Customer ID]],Table4[[#All],[Customer Name]])</f>
        <v>Emily Johnson</v>
      </c>
      <c r="T83" t="str">
        <f t="shared" si="19"/>
        <v>Fast</v>
      </c>
      <c r="U83" s="1" t="str">
        <f t="shared" si="20"/>
        <v>Cancellations</v>
      </c>
      <c r="V83" t="str">
        <f t="shared" si="21"/>
        <v>Cancelled</v>
      </c>
      <c r="W83">
        <f t="shared" si="22"/>
        <v>1</v>
      </c>
      <c r="X83" t="str">
        <f>VLOOKUP(H83,ProductMaster!$A$1:$E$23,2,0)</f>
        <v>T-Shirt</v>
      </c>
    </row>
    <row r="84" spans="1:24" x14ac:dyDescent="0.35">
      <c r="A84" t="s">
        <v>250</v>
      </c>
      <c r="B84" s="1">
        <v>45227</v>
      </c>
      <c r="C84" t="str">
        <f t="shared" si="15"/>
        <v>Oct</v>
      </c>
      <c r="D84" t="str">
        <f t="shared" si="16"/>
        <v>2023</v>
      </c>
      <c r="E84" s="1">
        <v>45229</v>
      </c>
      <c r="G84" t="s">
        <v>100</v>
      </c>
      <c r="H84" t="s">
        <v>147</v>
      </c>
      <c r="I84" t="s">
        <v>27</v>
      </c>
      <c r="J84">
        <v>27</v>
      </c>
      <c r="K84">
        <v>4</v>
      </c>
      <c r="L84">
        <v>108</v>
      </c>
      <c r="M84" t="s">
        <v>113</v>
      </c>
      <c r="N84" t="s">
        <v>14</v>
      </c>
      <c r="O84" t="s">
        <v>110</v>
      </c>
      <c r="P84">
        <f t="shared" si="17"/>
        <v>108</v>
      </c>
      <c r="Q84">
        <f t="shared" si="18"/>
        <v>2</v>
      </c>
      <c r="R84" t="str">
        <f t="array" ref="R84">_xlfn.XLOOKUP(Table1[[#This Row],[Product ID]],Table2[[#All],[Product ID]],Table2[[#All],[Category]])</f>
        <v>Fashion</v>
      </c>
      <c r="S84" t="str">
        <f t="array" ref="S84">_xlfn.XLOOKUP(Table1[[#This Row],[Customer ID]],Table4[[#All],[Customer ID]],Table4[[#All],[Customer Name]])</f>
        <v>Zoe Mitchell</v>
      </c>
      <c r="T84" t="str">
        <f t="shared" si="19"/>
        <v>Fast</v>
      </c>
      <c r="U84" s="1">
        <f t="shared" si="20"/>
        <v>45229</v>
      </c>
      <c r="V84" t="str">
        <f t="shared" si="21"/>
        <v>Delivered</v>
      </c>
      <c r="W84">
        <f t="shared" si="22"/>
        <v>0</v>
      </c>
      <c r="X84" t="str">
        <f>VLOOKUP(H84,ProductMaster!$A$1:$E$23,2,0)</f>
        <v>T-Shirt</v>
      </c>
    </row>
    <row r="85" spans="1:24" x14ac:dyDescent="0.35">
      <c r="A85" t="s">
        <v>251</v>
      </c>
      <c r="B85" s="1">
        <v>45282</v>
      </c>
      <c r="C85" t="str">
        <f t="shared" si="15"/>
        <v>Dec</v>
      </c>
      <c r="D85" t="str">
        <f t="shared" si="16"/>
        <v>2023</v>
      </c>
      <c r="G85" t="s">
        <v>252</v>
      </c>
      <c r="H85" t="s">
        <v>170</v>
      </c>
      <c r="I85" t="s">
        <v>27</v>
      </c>
      <c r="J85">
        <v>65</v>
      </c>
      <c r="K85">
        <v>2</v>
      </c>
      <c r="L85">
        <v>130</v>
      </c>
      <c r="M85" t="s">
        <v>113</v>
      </c>
      <c r="N85" t="s">
        <v>16</v>
      </c>
      <c r="O85" t="s">
        <v>103</v>
      </c>
      <c r="P85">
        <f t="shared" si="17"/>
        <v>130</v>
      </c>
      <c r="Q85" t="str">
        <f t="shared" si="18"/>
        <v/>
      </c>
      <c r="R85" t="str">
        <f t="array" ref="R85">_xlfn.XLOOKUP(Table1[[#This Row],[Product ID]],Table2[[#All],[Product ID]],Table2[[#All],[Category]])</f>
        <v>Fashion</v>
      </c>
      <c r="S85" t="str">
        <f t="array" ref="S85">_xlfn.XLOOKUP(Table1[[#This Row],[Customer ID]],Table4[[#All],[Customer ID]],Table4[[#All],[Customer Name]])</f>
        <v>Ava White</v>
      </c>
      <c r="T85" t="str">
        <f t="shared" si="19"/>
        <v>Fast</v>
      </c>
      <c r="U85" s="1" t="str">
        <f t="shared" si="20"/>
        <v>Cancellations</v>
      </c>
      <c r="V85" t="str">
        <f t="shared" si="21"/>
        <v>Delivered</v>
      </c>
      <c r="W85">
        <f t="shared" si="22"/>
        <v>0</v>
      </c>
      <c r="X85" t="str">
        <f>VLOOKUP(H85,ProductMaster!$A$1:$E$23,2,0)</f>
        <v>Backpack</v>
      </c>
    </row>
    <row r="86" spans="1:24" x14ac:dyDescent="0.35">
      <c r="A86" t="s">
        <v>253</v>
      </c>
      <c r="B86" s="1">
        <v>45110</v>
      </c>
      <c r="C86" t="str">
        <f t="shared" si="15"/>
        <v>Jul</v>
      </c>
      <c r="D86" t="str">
        <f t="shared" si="16"/>
        <v>2023</v>
      </c>
      <c r="G86" t="s">
        <v>138</v>
      </c>
      <c r="H86" t="s">
        <v>131</v>
      </c>
      <c r="I86" t="s">
        <v>17</v>
      </c>
      <c r="J86">
        <v>43</v>
      </c>
      <c r="K86">
        <v>5</v>
      </c>
      <c r="L86">
        <v>215</v>
      </c>
      <c r="M86" t="s">
        <v>125</v>
      </c>
      <c r="N86" t="s">
        <v>16</v>
      </c>
      <c r="O86" t="s">
        <v>103</v>
      </c>
      <c r="P86">
        <f t="shared" si="17"/>
        <v>215</v>
      </c>
      <c r="Q86" t="str">
        <f t="shared" si="18"/>
        <v/>
      </c>
      <c r="R86" t="str">
        <f t="array" ref="R86">_xlfn.XLOOKUP(Table1[[#This Row],[Product ID]],Table2[[#All],[Product ID]],Table2[[#All],[Category]])</f>
        <v>Fashion</v>
      </c>
      <c r="S86" t="str">
        <f t="array" ref="S86">_xlfn.XLOOKUP(Table1[[#This Row],[Customer ID]],Table4[[#All],[Customer ID]],Table4[[#All],[Customer Name]])</f>
        <v>Emily Johnson</v>
      </c>
      <c r="T86" t="str">
        <f t="shared" si="19"/>
        <v>Fast</v>
      </c>
      <c r="U86" s="1" t="str">
        <f t="shared" si="20"/>
        <v>Cancellations</v>
      </c>
      <c r="V86" t="str">
        <f t="shared" si="21"/>
        <v>Delivered</v>
      </c>
      <c r="W86">
        <f t="shared" si="22"/>
        <v>0</v>
      </c>
      <c r="X86" t="str">
        <f>VLOOKUP(H86,ProductMaster!$A$1:$E$23,2,0)</f>
        <v>Formal Shirt</v>
      </c>
    </row>
    <row r="87" spans="1:24" x14ac:dyDescent="0.35">
      <c r="A87" t="s">
        <v>254</v>
      </c>
      <c r="B87" s="1">
        <v>45210</v>
      </c>
      <c r="C87" t="str">
        <f t="shared" si="15"/>
        <v>Oct</v>
      </c>
      <c r="D87" t="str">
        <f t="shared" si="16"/>
        <v>2023</v>
      </c>
      <c r="G87" t="s">
        <v>175</v>
      </c>
      <c r="H87" t="s">
        <v>189</v>
      </c>
      <c r="I87" t="s">
        <v>29</v>
      </c>
      <c r="J87">
        <v>210</v>
      </c>
      <c r="K87">
        <v>1</v>
      </c>
      <c r="L87">
        <v>210</v>
      </c>
      <c r="M87" t="s">
        <v>113</v>
      </c>
      <c r="N87" t="s">
        <v>16</v>
      </c>
      <c r="O87" t="s">
        <v>114</v>
      </c>
      <c r="P87">
        <f t="shared" si="17"/>
        <v>210</v>
      </c>
      <c r="Q87" t="str">
        <f t="shared" si="18"/>
        <v/>
      </c>
      <c r="R87" t="str">
        <f t="array" ref="R87">_xlfn.XLOOKUP(Table1[[#This Row],[Product ID]],Table2[[#All],[Product ID]],Table2[[#All],[Category]])</f>
        <v>Home</v>
      </c>
      <c r="S87" t="str">
        <f t="array" ref="S87">_xlfn.XLOOKUP(Table1[[#This Row],[Customer ID]],Table4[[#All],[Customer ID]],Table4[[#All],[Customer Name]])</f>
        <v>Liam Walker</v>
      </c>
      <c r="T87" t="str">
        <f t="shared" si="19"/>
        <v>Fast</v>
      </c>
      <c r="U87" s="1" t="str">
        <f t="shared" si="20"/>
        <v>Cancellations</v>
      </c>
      <c r="V87" t="str">
        <f t="shared" si="21"/>
        <v>Delivered</v>
      </c>
      <c r="W87">
        <f t="shared" si="22"/>
        <v>0</v>
      </c>
      <c r="X87" t="str">
        <f>VLOOKUP(H87,ProductMaster!$A$1:$E$23,2,0)</f>
        <v>Cookware Set Pro</v>
      </c>
    </row>
    <row r="88" spans="1:24" x14ac:dyDescent="0.35">
      <c r="A88" t="s">
        <v>255</v>
      </c>
      <c r="B88" s="1">
        <v>45252</v>
      </c>
      <c r="C88" t="str">
        <f t="shared" si="15"/>
        <v>Nov</v>
      </c>
      <c r="D88" t="str">
        <f t="shared" si="16"/>
        <v>2023</v>
      </c>
      <c r="G88" t="s">
        <v>256</v>
      </c>
      <c r="H88" t="s">
        <v>128</v>
      </c>
      <c r="I88" t="s">
        <v>27</v>
      </c>
      <c r="J88">
        <v>37</v>
      </c>
      <c r="K88">
        <v>3</v>
      </c>
      <c r="L88">
        <v>111</v>
      </c>
      <c r="M88" t="s">
        <v>107</v>
      </c>
      <c r="N88" t="s">
        <v>16</v>
      </c>
      <c r="O88" t="s">
        <v>114</v>
      </c>
      <c r="P88">
        <f t="shared" si="17"/>
        <v>111</v>
      </c>
      <c r="Q88" t="str">
        <f t="shared" si="18"/>
        <v/>
      </c>
      <c r="R88" t="str">
        <f t="array" ref="R88">_xlfn.XLOOKUP(Table1[[#This Row],[Product ID]],Table2[[#All],[Product ID]],Table2[[#All],[Category]])</f>
        <v>Home</v>
      </c>
      <c r="S88" t="str">
        <f t="array" ref="S88">_xlfn.XLOOKUP(Table1[[#This Row],[Customer ID]],Table4[[#All],[Customer ID]],Table4[[#All],[Customer Name]])</f>
        <v>Lily Reed</v>
      </c>
      <c r="T88" t="str">
        <f t="shared" si="19"/>
        <v>Fast</v>
      </c>
      <c r="U88" s="1" t="str">
        <f t="shared" si="20"/>
        <v>Cancellations</v>
      </c>
      <c r="V88" t="str">
        <f t="shared" si="21"/>
        <v>Delivered</v>
      </c>
      <c r="W88">
        <f t="shared" si="22"/>
        <v>0</v>
      </c>
      <c r="X88" t="str">
        <f>VLOOKUP(H88,ProductMaster!$A$1:$E$23,2,0)</f>
        <v>Wall Clock</v>
      </c>
    </row>
    <row r="89" spans="1:24" x14ac:dyDescent="0.35">
      <c r="A89" t="s">
        <v>257</v>
      </c>
      <c r="B89" s="1">
        <v>45143</v>
      </c>
      <c r="C89" t="str">
        <f t="shared" si="15"/>
        <v>Aug</v>
      </c>
      <c r="D89" t="str">
        <f t="shared" si="16"/>
        <v>2023</v>
      </c>
      <c r="G89" t="s">
        <v>175</v>
      </c>
      <c r="H89" t="s">
        <v>159</v>
      </c>
      <c r="I89" t="s">
        <v>27</v>
      </c>
      <c r="J89">
        <v>788</v>
      </c>
      <c r="K89">
        <v>4</v>
      </c>
      <c r="L89">
        <v>3152</v>
      </c>
      <c r="M89" t="s">
        <v>125</v>
      </c>
      <c r="N89" t="s">
        <v>16</v>
      </c>
      <c r="O89" t="s">
        <v>118</v>
      </c>
      <c r="P89">
        <f t="shared" si="17"/>
        <v>3152</v>
      </c>
      <c r="Q89" t="str">
        <f t="shared" si="18"/>
        <v/>
      </c>
      <c r="R89" t="str">
        <f t="array" ref="R89">_xlfn.XLOOKUP(Table1[[#This Row],[Product ID]],Table2[[#All],[Product ID]],Table2[[#All],[Category]])</f>
        <v>Electronics</v>
      </c>
      <c r="S89" t="str">
        <f t="array" ref="S89">_xlfn.XLOOKUP(Table1[[#This Row],[Customer ID]],Table4[[#All],[Customer ID]],Table4[[#All],[Customer Name]])</f>
        <v>Liam Walker</v>
      </c>
      <c r="T89" t="str">
        <f t="shared" si="19"/>
        <v>Fast</v>
      </c>
      <c r="U89" s="1" t="str">
        <f t="shared" si="20"/>
        <v>Cancellations</v>
      </c>
      <c r="V89" t="str">
        <f t="shared" si="21"/>
        <v>Delivered</v>
      </c>
      <c r="W89">
        <f t="shared" si="22"/>
        <v>0</v>
      </c>
      <c r="X89" t="str">
        <f>VLOOKUP(H89,ProductMaster!$A$1:$E$23,2,0)</f>
        <v>Smartphone</v>
      </c>
    </row>
    <row r="90" spans="1:24" x14ac:dyDescent="0.35">
      <c r="A90" t="s">
        <v>258</v>
      </c>
      <c r="B90" s="1">
        <v>45120</v>
      </c>
      <c r="C90" t="str">
        <f t="shared" si="15"/>
        <v>Jul</v>
      </c>
      <c r="D90" t="str">
        <f t="shared" si="16"/>
        <v>2023</v>
      </c>
      <c r="G90" t="s">
        <v>175</v>
      </c>
      <c r="H90" t="s">
        <v>189</v>
      </c>
      <c r="I90" t="s">
        <v>29</v>
      </c>
      <c r="J90">
        <v>217</v>
      </c>
      <c r="K90">
        <v>5</v>
      </c>
      <c r="L90">
        <v>1085</v>
      </c>
      <c r="M90" t="s">
        <v>125</v>
      </c>
      <c r="N90" t="s">
        <v>16</v>
      </c>
      <c r="O90" t="s">
        <v>139</v>
      </c>
      <c r="P90">
        <f t="shared" si="17"/>
        <v>1085</v>
      </c>
      <c r="Q90" t="str">
        <f t="shared" si="18"/>
        <v/>
      </c>
      <c r="R90" t="str">
        <f t="array" ref="R90">_xlfn.XLOOKUP(Table1[[#This Row],[Product ID]],Table2[[#All],[Product ID]],Table2[[#All],[Category]])</f>
        <v>Home</v>
      </c>
      <c r="S90" t="str">
        <f t="array" ref="S90">_xlfn.XLOOKUP(Table1[[#This Row],[Customer ID]],Table4[[#All],[Customer ID]],Table4[[#All],[Customer Name]])</f>
        <v>Liam Walker</v>
      </c>
      <c r="T90" t="str">
        <f t="shared" si="19"/>
        <v>Fast</v>
      </c>
      <c r="U90" s="1" t="str">
        <f t="shared" si="20"/>
        <v>Cancellations</v>
      </c>
      <c r="V90" t="str">
        <f t="shared" si="21"/>
        <v>Delivered</v>
      </c>
      <c r="W90">
        <f t="shared" si="22"/>
        <v>0</v>
      </c>
      <c r="X90" t="str">
        <f>VLOOKUP(H90,ProductMaster!$A$1:$E$23,2,0)</f>
        <v>Cookware Set Pro</v>
      </c>
    </row>
    <row r="91" spans="1:24" x14ac:dyDescent="0.35">
      <c r="A91" t="s">
        <v>259</v>
      </c>
      <c r="B91" s="1">
        <v>44944</v>
      </c>
      <c r="C91" t="str">
        <f t="shared" si="15"/>
        <v>Jan</v>
      </c>
      <c r="D91" t="str">
        <f t="shared" si="16"/>
        <v>2023</v>
      </c>
      <c r="G91" t="s">
        <v>175</v>
      </c>
      <c r="H91" t="s">
        <v>133</v>
      </c>
      <c r="I91" t="s">
        <v>29</v>
      </c>
      <c r="J91">
        <v>138</v>
      </c>
      <c r="K91">
        <v>4</v>
      </c>
      <c r="L91">
        <v>552</v>
      </c>
      <c r="M91" t="s">
        <v>107</v>
      </c>
      <c r="N91" t="s">
        <v>16</v>
      </c>
      <c r="O91" t="s">
        <v>139</v>
      </c>
      <c r="P91">
        <f t="shared" si="17"/>
        <v>552</v>
      </c>
      <c r="Q91" t="str">
        <f t="shared" si="18"/>
        <v/>
      </c>
      <c r="R91" t="str">
        <f t="array" ref="R91">_xlfn.XLOOKUP(Table1[[#This Row],[Product ID]],Table2[[#All],[Product ID]],Table2[[#All],[Category]])</f>
        <v>Home</v>
      </c>
      <c r="S91" t="str">
        <f t="array" ref="S91">_xlfn.XLOOKUP(Table1[[#This Row],[Customer ID]],Table4[[#All],[Customer ID]],Table4[[#All],[Customer Name]])</f>
        <v>Liam Walker</v>
      </c>
      <c r="T91" t="str">
        <f t="shared" si="19"/>
        <v>Fast</v>
      </c>
      <c r="U91" s="1" t="str">
        <f t="shared" si="20"/>
        <v>Cancellations</v>
      </c>
      <c r="V91" t="str">
        <f t="shared" si="21"/>
        <v>Delivered</v>
      </c>
      <c r="W91">
        <f t="shared" si="22"/>
        <v>0</v>
      </c>
      <c r="X91" t="str">
        <f>VLOOKUP(H91,ProductMaster!$A$1:$E$23,2,0)</f>
        <v>Cookware Set</v>
      </c>
    </row>
    <row r="92" spans="1:24" x14ac:dyDescent="0.35">
      <c r="A92" t="s">
        <v>260</v>
      </c>
      <c r="B92" s="1">
        <v>45100</v>
      </c>
      <c r="C92" t="str">
        <f t="shared" si="15"/>
        <v>Jun</v>
      </c>
      <c r="D92" t="str">
        <f t="shared" si="16"/>
        <v>2023</v>
      </c>
      <c r="E92" s="1">
        <v>45106</v>
      </c>
      <c r="G92" t="s">
        <v>261</v>
      </c>
      <c r="H92" t="s">
        <v>159</v>
      </c>
      <c r="I92" t="s">
        <v>4</v>
      </c>
      <c r="J92">
        <v>803</v>
      </c>
      <c r="K92">
        <v>2</v>
      </c>
      <c r="L92">
        <v>1606</v>
      </c>
      <c r="M92" t="s">
        <v>102</v>
      </c>
      <c r="N92" t="s">
        <v>14</v>
      </c>
      <c r="O92" t="s">
        <v>139</v>
      </c>
      <c r="P92">
        <f t="shared" si="17"/>
        <v>1606</v>
      </c>
      <c r="Q92">
        <f t="shared" si="18"/>
        <v>6</v>
      </c>
      <c r="R92" t="str">
        <f t="array" ref="R92">_xlfn.XLOOKUP(Table1[[#This Row],[Product ID]],Table2[[#All],[Product ID]],Table2[[#All],[Category]])</f>
        <v>Electronics</v>
      </c>
      <c r="S92" t="str">
        <f t="array" ref="S92">_xlfn.XLOOKUP(Table1[[#This Row],[Customer ID]],Table4[[#All],[Customer ID]],Table4[[#All],[Customer Name]])</f>
        <v>Mason Collins</v>
      </c>
      <c r="T92" t="str">
        <f t="shared" si="19"/>
        <v>Slow</v>
      </c>
      <c r="U92" s="1">
        <f t="shared" si="20"/>
        <v>45106</v>
      </c>
      <c r="V92" t="str">
        <f t="shared" si="21"/>
        <v>Delivered</v>
      </c>
      <c r="W92">
        <f t="shared" si="22"/>
        <v>0</v>
      </c>
      <c r="X92" t="str">
        <f>VLOOKUP(H92,ProductMaster!$A$1:$E$23,2,0)</f>
        <v>Smartphone</v>
      </c>
    </row>
    <row r="93" spans="1:24" x14ac:dyDescent="0.35">
      <c r="A93" t="s">
        <v>262</v>
      </c>
      <c r="B93" s="1">
        <v>44978</v>
      </c>
      <c r="C93" t="str">
        <f t="shared" si="15"/>
        <v>Feb</v>
      </c>
      <c r="D93" t="str">
        <f t="shared" si="16"/>
        <v>2023</v>
      </c>
      <c r="F93" s="1">
        <v>44982</v>
      </c>
      <c r="G93" t="s">
        <v>130</v>
      </c>
      <c r="H93" t="s">
        <v>136</v>
      </c>
      <c r="I93" t="s">
        <v>22</v>
      </c>
      <c r="J93">
        <v>248</v>
      </c>
      <c r="K93">
        <v>5</v>
      </c>
      <c r="L93">
        <v>1240</v>
      </c>
      <c r="M93" t="s">
        <v>113</v>
      </c>
      <c r="N93" t="s">
        <v>12</v>
      </c>
      <c r="O93" t="s">
        <v>114</v>
      </c>
      <c r="P93">
        <f t="shared" si="17"/>
        <v>1240</v>
      </c>
      <c r="Q93" t="str">
        <f t="shared" si="18"/>
        <v/>
      </c>
      <c r="R93" t="str">
        <f t="array" ref="R93">_xlfn.XLOOKUP(Table1[[#This Row],[Product ID]],Table2[[#All],[Product ID]],Table2[[#All],[Category]])</f>
        <v>Electronics</v>
      </c>
      <c r="S93" t="str">
        <f t="array" ref="S93">_xlfn.XLOOKUP(Table1[[#This Row],[Customer ID]],Table4[[#All],[Customer ID]],Table4[[#All],[Customer Name]])</f>
        <v>Olivia Martinez</v>
      </c>
      <c r="T93" t="str">
        <f t="shared" si="19"/>
        <v>Fast</v>
      </c>
      <c r="U93" s="1" t="str">
        <f t="shared" si="20"/>
        <v>Cancellations</v>
      </c>
      <c r="V93" t="str">
        <f t="shared" si="21"/>
        <v>Cancelled</v>
      </c>
      <c r="W93">
        <f t="shared" si="22"/>
        <v>1</v>
      </c>
      <c r="X93" t="str">
        <f>VLOOKUP(H93,ProductMaster!$A$1:$E$23,2,0)</f>
        <v>Smartwatch</v>
      </c>
    </row>
    <row r="94" spans="1:24" x14ac:dyDescent="0.35">
      <c r="A94" t="s">
        <v>263</v>
      </c>
      <c r="B94" s="1">
        <v>44976</v>
      </c>
      <c r="C94" t="str">
        <f t="shared" si="15"/>
        <v>Feb</v>
      </c>
      <c r="D94" t="str">
        <f t="shared" si="16"/>
        <v>2023</v>
      </c>
      <c r="E94" s="1">
        <v>44978</v>
      </c>
      <c r="G94" t="s">
        <v>264</v>
      </c>
      <c r="H94" t="s">
        <v>189</v>
      </c>
      <c r="I94" t="s">
        <v>17</v>
      </c>
      <c r="J94">
        <v>210</v>
      </c>
      <c r="K94">
        <v>3</v>
      </c>
      <c r="L94">
        <v>630</v>
      </c>
      <c r="M94" t="s">
        <v>102</v>
      </c>
      <c r="N94" t="s">
        <v>14</v>
      </c>
      <c r="O94" t="s">
        <v>103</v>
      </c>
      <c r="P94">
        <f t="shared" si="17"/>
        <v>630</v>
      </c>
      <c r="Q94">
        <f t="shared" si="18"/>
        <v>2</v>
      </c>
      <c r="R94" t="str">
        <f t="array" ref="R94">_xlfn.XLOOKUP(Table1[[#This Row],[Product ID]],Table2[[#All],[Product ID]],Table2[[#All],[Category]])</f>
        <v>Home</v>
      </c>
      <c r="S94" t="str">
        <f t="array" ref="S94">_xlfn.XLOOKUP(Table1[[#This Row],[Customer ID]],Table4[[#All],[Customer ID]],Table4[[#All],[Customer Name]])</f>
        <v>Ethan Davis</v>
      </c>
      <c r="T94" t="str">
        <f t="shared" si="19"/>
        <v>Fast</v>
      </c>
      <c r="U94" s="1">
        <f t="shared" si="20"/>
        <v>44978</v>
      </c>
      <c r="V94" t="str">
        <f t="shared" si="21"/>
        <v>Delivered</v>
      </c>
      <c r="W94">
        <f t="shared" si="22"/>
        <v>0</v>
      </c>
      <c r="X94" t="str">
        <f>VLOOKUP(H94,ProductMaster!$A$1:$E$23,2,0)</f>
        <v>Cookware Set Pro</v>
      </c>
    </row>
    <row r="95" spans="1:24" x14ac:dyDescent="0.35">
      <c r="A95" t="s">
        <v>265</v>
      </c>
      <c r="B95" s="1">
        <v>45058</v>
      </c>
      <c r="C95" t="str">
        <f t="shared" si="15"/>
        <v>May</v>
      </c>
      <c r="D95" t="str">
        <f t="shared" si="16"/>
        <v>2023</v>
      </c>
      <c r="F95" s="1">
        <v>45272</v>
      </c>
      <c r="G95" t="s">
        <v>130</v>
      </c>
      <c r="H95" t="s">
        <v>197</v>
      </c>
      <c r="I95" t="s">
        <v>22</v>
      </c>
      <c r="J95">
        <v>62</v>
      </c>
      <c r="K95">
        <v>2</v>
      </c>
      <c r="L95">
        <v>124</v>
      </c>
      <c r="M95" t="s">
        <v>107</v>
      </c>
      <c r="N95" t="s">
        <v>12</v>
      </c>
      <c r="O95" t="s">
        <v>139</v>
      </c>
      <c r="P95">
        <f t="shared" si="17"/>
        <v>124</v>
      </c>
      <c r="Q95" t="str">
        <f t="shared" si="18"/>
        <v/>
      </c>
      <c r="R95" t="str">
        <f t="array" ref="R95">_xlfn.XLOOKUP(Table1[[#This Row],[Product ID]],Table2[[#All],[Product ID]],Table2[[#All],[Category]])</f>
        <v>Toys</v>
      </c>
      <c r="S95" t="str">
        <f t="array" ref="S95">_xlfn.XLOOKUP(Table1[[#This Row],[Customer ID]],Table4[[#All],[Customer ID]],Table4[[#All],[Customer Name]])</f>
        <v>Olivia Martinez</v>
      </c>
      <c r="T95" t="str">
        <f t="shared" si="19"/>
        <v>Fast</v>
      </c>
      <c r="U95" s="1" t="str">
        <f t="shared" si="20"/>
        <v>Cancellations</v>
      </c>
      <c r="V95" t="str">
        <f t="shared" si="21"/>
        <v>Cancelled</v>
      </c>
      <c r="W95">
        <f t="shared" si="22"/>
        <v>1</v>
      </c>
      <c r="X95" t="str">
        <f>VLOOKUP(H95,ProductMaster!$A$1:$E$23,2,0)</f>
        <v>Leg Set</v>
      </c>
    </row>
    <row r="96" spans="1:24" x14ac:dyDescent="0.35">
      <c r="A96" t="s">
        <v>266</v>
      </c>
      <c r="B96" s="1">
        <v>45113</v>
      </c>
      <c r="C96" t="str">
        <f t="shared" si="15"/>
        <v>Jul</v>
      </c>
      <c r="D96" t="str">
        <f t="shared" si="16"/>
        <v>2023</v>
      </c>
      <c r="F96" s="1">
        <v>45266</v>
      </c>
      <c r="G96" t="s">
        <v>256</v>
      </c>
      <c r="H96" t="s">
        <v>182</v>
      </c>
      <c r="I96" t="s">
        <v>27</v>
      </c>
      <c r="J96">
        <v>11</v>
      </c>
      <c r="K96">
        <v>5</v>
      </c>
      <c r="L96">
        <v>55</v>
      </c>
      <c r="M96" t="s">
        <v>125</v>
      </c>
      <c r="N96" t="s">
        <v>12</v>
      </c>
      <c r="O96" t="s">
        <v>118</v>
      </c>
      <c r="P96">
        <f t="shared" si="17"/>
        <v>55</v>
      </c>
      <c r="Q96" t="str">
        <f t="shared" si="18"/>
        <v/>
      </c>
      <c r="R96" t="str">
        <f t="array" ref="R96">_xlfn.XLOOKUP(Table1[[#This Row],[Product ID]],Table2[[#All],[Product ID]],Table2[[#All],[Category]])</f>
        <v>Books</v>
      </c>
      <c r="S96" t="str">
        <f t="array" ref="S96">_xlfn.XLOOKUP(Table1[[#This Row],[Customer ID]],Table4[[#All],[Customer ID]],Table4[[#All],[Customer Name]])</f>
        <v>Lily Reed</v>
      </c>
      <c r="T96" t="str">
        <f t="shared" si="19"/>
        <v>Fast</v>
      </c>
      <c r="U96" s="1" t="str">
        <f t="shared" si="20"/>
        <v>Cancellations</v>
      </c>
      <c r="V96" t="str">
        <f t="shared" si="21"/>
        <v>Cancelled</v>
      </c>
      <c r="W96">
        <f t="shared" si="22"/>
        <v>1</v>
      </c>
      <c r="X96" t="str">
        <f>VLOOKUP(H96,ProductMaster!$A$1:$E$23,2,0)</f>
        <v>Magazine</v>
      </c>
    </row>
    <row r="97" spans="1:24" x14ac:dyDescent="0.35">
      <c r="A97" t="s">
        <v>267</v>
      </c>
      <c r="B97" s="1">
        <v>45176</v>
      </c>
      <c r="C97" t="str">
        <f t="shared" si="15"/>
        <v>Sep</v>
      </c>
      <c r="D97" t="str">
        <f t="shared" si="16"/>
        <v>2023</v>
      </c>
      <c r="E97" s="1">
        <v>45267</v>
      </c>
      <c r="G97" t="s">
        <v>217</v>
      </c>
      <c r="H97" t="s">
        <v>151</v>
      </c>
      <c r="I97" t="s">
        <v>22</v>
      </c>
      <c r="J97">
        <v>21</v>
      </c>
      <c r="K97">
        <v>2</v>
      </c>
      <c r="L97">
        <v>42</v>
      </c>
      <c r="M97" t="s">
        <v>121</v>
      </c>
      <c r="N97" t="s">
        <v>14</v>
      </c>
      <c r="O97" t="s">
        <v>114</v>
      </c>
      <c r="P97">
        <f t="shared" si="17"/>
        <v>42</v>
      </c>
      <c r="Q97">
        <f t="shared" si="18"/>
        <v>91</v>
      </c>
      <c r="R97" t="str">
        <f t="array" ref="R97">_xlfn.XLOOKUP(Table1[[#This Row],[Product ID]],Table2[[#All],[Product ID]],Table2[[#All],[Category]])</f>
        <v>Books</v>
      </c>
      <c r="S97" t="str">
        <f t="array" ref="S97">_xlfn.XLOOKUP(Table1[[#This Row],[Customer ID]],Table4[[#All],[Customer ID]],Table4[[#All],[Customer Name]])</f>
        <v>Emma King</v>
      </c>
      <c r="T97" t="str">
        <f t="shared" si="19"/>
        <v>Slow</v>
      </c>
      <c r="U97" s="1">
        <f t="shared" si="20"/>
        <v>45267</v>
      </c>
      <c r="V97" t="str">
        <f t="shared" si="21"/>
        <v>Delivered</v>
      </c>
      <c r="W97">
        <f t="shared" si="22"/>
        <v>0</v>
      </c>
      <c r="X97" t="str">
        <f>VLOOKUP(H97,ProductMaster!$A$1:$E$23,2,0)</f>
        <v>Novel</v>
      </c>
    </row>
    <row r="98" spans="1:24" x14ac:dyDescent="0.35">
      <c r="A98" t="s">
        <v>268</v>
      </c>
      <c r="B98" s="1">
        <v>45283</v>
      </c>
      <c r="C98" t="str">
        <f t="shared" ref="C98:C101" si="23">TEXT(B98,"mmm")</f>
        <v>Dec</v>
      </c>
      <c r="D98" t="str">
        <f t="shared" si="16"/>
        <v>2023</v>
      </c>
      <c r="E98" s="1">
        <v>45286</v>
      </c>
      <c r="G98" t="s">
        <v>141</v>
      </c>
      <c r="H98" t="s">
        <v>106</v>
      </c>
      <c r="I98" t="s">
        <v>29</v>
      </c>
      <c r="J98">
        <v>95</v>
      </c>
      <c r="K98">
        <v>5</v>
      </c>
      <c r="L98">
        <v>475</v>
      </c>
      <c r="M98" t="s">
        <v>121</v>
      </c>
      <c r="N98" t="s">
        <v>14</v>
      </c>
      <c r="O98" t="s">
        <v>118</v>
      </c>
      <c r="P98">
        <f t="shared" si="17"/>
        <v>475</v>
      </c>
      <c r="Q98">
        <f t="shared" si="18"/>
        <v>3</v>
      </c>
      <c r="R98" t="str">
        <f t="array" ref="R98">_xlfn.XLOOKUP(Table1[[#This Row],[Product ID]],Table2[[#All],[Product ID]],Table2[[#All],[Category]])</f>
        <v>Toys</v>
      </c>
      <c r="S98" t="str">
        <f t="array" ref="S98">_xlfn.XLOOKUP(Table1[[#This Row],[Customer ID]],Table4[[#All],[Customer ID]],Table4[[#All],[Customer Name]])</f>
        <v>Charlotte Reed</v>
      </c>
      <c r="T98" t="str">
        <f t="shared" si="19"/>
        <v>Slow</v>
      </c>
      <c r="U98" s="1">
        <f t="shared" si="20"/>
        <v>45286</v>
      </c>
      <c r="V98" t="str">
        <f t="shared" si="21"/>
        <v>Delivered</v>
      </c>
      <c r="W98">
        <f t="shared" si="22"/>
        <v>0</v>
      </c>
      <c r="X98" t="str">
        <f>VLOOKUP(H98,ProductMaster!$A$1:$E$23,2,0)</f>
        <v>Doll House</v>
      </c>
    </row>
    <row r="99" spans="1:24" x14ac:dyDescent="0.35">
      <c r="A99" t="s">
        <v>269</v>
      </c>
      <c r="B99" s="1">
        <v>45194</v>
      </c>
      <c r="C99" t="str">
        <f t="shared" si="23"/>
        <v>Sep</v>
      </c>
      <c r="D99" t="str">
        <f t="shared" si="16"/>
        <v>2023</v>
      </c>
      <c r="E99" s="1">
        <v>45199</v>
      </c>
      <c r="G99" t="s">
        <v>112</v>
      </c>
      <c r="H99" t="s">
        <v>189</v>
      </c>
      <c r="I99" t="s">
        <v>27</v>
      </c>
      <c r="J99">
        <v>215</v>
      </c>
      <c r="K99">
        <v>2</v>
      </c>
      <c r="L99">
        <v>430</v>
      </c>
      <c r="M99" t="s">
        <v>113</v>
      </c>
      <c r="N99" t="s">
        <v>14</v>
      </c>
      <c r="O99" t="s">
        <v>118</v>
      </c>
      <c r="P99">
        <f t="shared" si="17"/>
        <v>430</v>
      </c>
      <c r="Q99">
        <f t="shared" si="18"/>
        <v>5</v>
      </c>
      <c r="R99" t="str">
        <f t="array" ref="R99">_xlfn.XLOOKUP(Table1[[#This Row],[Product ID]],Table2[[#All],[Product ID]],Table2[[#All],[Category]])</f>
        <v>Home</v>
      </c>
      <c r="S99" t="str">
        <f t="array" ref="S99">_xlfn.XLOOKUP(Table1[[#This Row],[Customer ID]],Table4[[#All],[Customer ID]],Table4[[#All],[Customer Name]])</f>
        <v>Grace Ward</v>
      </c>
      <c r="T99" t="str">
        <f t="shared" si="19"/>
        <v>Slow</v>
      </c>
      <c r="U99" s="1">
        <f t="shared" si="20"/>
        <v>45199</v>
      </c>
      <c r="V99" t="str">
        <f t="shared" si="21"/>
        <v>Delivered</v>
      </c>
      <c r="W99">
        <f t="shared" si="22"/>
        <v>0</v>
      </c>
      <c r="X99" t="str">
        <f>VLOOKUP(H99,ProductMaster!$A$1:$E$23,2,0)</f>
        <v>Cookware Set Pro</v>
      </c>
    </row>
    <row r="100" spans="1:24" x14ac:dyDescent="0.35">
      <c r="A100" t="s">
        <v>270</v>
      </c>
      <c r="B100" s="1">
        <v>44944</v>
      </c>
      <c r="C100" t="str">
        <f t="shared" si="23"/>
        <v>Jan</v>
      </c>
      <c r="D100" t="str">
        <f t="shared" si="16"/>
        <v>2023</v>
      </c>
      <c r="F100" s="1">
        <v>44950</v>
      </c>
      <c r="G100" t="s">
        <v>271</v>
      </c>
      <c r="H100" t="s">
        <v>131</v>
      </c>
      <c r="I100" t="s">
        <v>29</v>
      </c>
      <c r="J100">
        <v>43</v>
      </c>
      <c r="K100">
        <v>5</v>
      </c>
      <c r="L100">
        <v>215</v>
      </c>
      <c r="M100" t="s">
        <v>107</v>
      </c>
      <c r="N100" t="s">
        <v>12</v>
      </c>
      <c r="O100" t="s">
        <v>114</v>
      </c>
      <c r="P100">
        <f t="shared" si="17"/>
        <v>215</v>
      </c>
      <c r="Q100" t="str">
        <f t="shared" si="18"/>
        <v/>
      </c>
      <c r="R100" t="str">
        <f t="array" ref="R100">_xlfn.XLOOKUP(Table1[[#This Row],[Product ID]],Table2[[#All],[Product ID]],Table2[[#All],[Category]])</f>
        <v>Fashion</v>
      </c>
      <c r="S100" t="str">
        <f t="array" ref="S100">_xlfn.XLOOKUP(Table1[[#This Row],[Customer ID]],Table4[[#All],[Customer ID]],Table4[[#All],[Customer Name]])</f>
        <v>Lily Simmons</v>
      </c>
      <c r="T100" t="str">
        <f t="shared" si="19"/>
        <v>Fast</v>
      </c>
      <c r="U100" s="1" t="str">
        <f t="shared" si="20"/>
        <v>Cancellations</v>
      </c>
      <c r="V100" t="str">
        <f t="shared" si="21"/>
        <v>Cancelled</v>
      </c>
      <c r="W100">
        <f t="shared" si="22"/>
        <v>1</v>
      </c>
      <c r="X100" t="str">
        <f>VLOOKUP(H100,ProductMaster!$A$1:$E$23,2,0)</f>
        <v>Formal Shirt</v>
      </c>
    </row>
    <row r="101" spans="1:24" x14ac:dyDescent="0.35">
      <c r="A101" t="s">
        <v>272</v>
      </c>
      <c r="B101" s="1">
        <v>45012</v>
      </c>
      <c r="C101" t="str">
        <f t="shared" si="23"/>
        <v>Mar</v>
      </c>
      <c r="D101" t="str">
        <f t="shared" si="16"/>
        <v>2023</v>
      </c>
      <c r="G101" t="s">
        <v>120</v>
      </c>
      <c r="H101" t="s">
        <v>168</v>
      </c>
      <c r="I101" t="s">
        <v>29</v>
      </c>
      <c r="J101">
        <v>42</v>
      </c>
      <c r="K101">
        <v>4</v>
      </c>
      <c r="L101">
        <v>168</v>
      </c>
      <c r="M101" t="s">
        <v>125</v>
      </c>
      <c r="N101" t="s">
        <v>16</v>
      </c>
      <c r="O101" t="s">
        <v>103</v>
      </c>
      <c r="P101">
        <f t="shared" si="17"/>
        <v>168</v>
      </c>
      <c r="Q101" t="str">
        <f t="shared" si="18"/>
        <v/>
      </c>
      <c r="R101" t="str">
        <f t="array" ref="R101">_xlfn.XLOOKUP(Table1[[#This Row],[Product ID]],Table2[[#All],[Product ID]],Table2[[#All],[Category]])</f>
        <v>Toys</v>
      </c>
      <c r="S101" t="str">
        <f t="array" ref="S101">_xlfn.XLOOKUP(Table1[[#This Row],[Customer ID]],Table4[[#All],[Customer ID]],Table4[[#All],[Customer Name]])</f>
        <v>Jackson Allen</v>
      </c>
      <c r="T101" t="str">
        <f t="shared" si="19"/>
        <v>Fast</v>
      </c>
      <c r="U101" s="1" t="str">
        <f t="shared" si="20"/>
        <v>Cancellations</v>
      </c>
      <c r="V101" t="str">
        <f t="shared" si="21"/>
        <v>Delivered</v>
      </c>
      <c r="W101">
        <f t="shared" si="22"/>
        <v>0</v>
      </c>
      <c r="X101" t="str">
        <f>VLOOKUP(H101,ProductMaster!$A$1:$E$23,2,0)</f>
        <v>Action Figure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E11" sqref="E11"/>
    </sheetView>
  </sheetViews>
  <sheetFormatPr defaultColWidth="8.7265625" defaultRowHeight="14.5" x14ac:dyDescent="0.35"/>
  <cols>
    <col min="1" max="1" width="14.453125" style="37" customWidth="1"/>
    <col min="2" max="2" width="19.453125" style="37" customWidth="1"/>
    <col min="3" max="3" width="13.26953125" style="37" customWidth="1"/>
    <col min="4" max="4" width="17.54296875" style="37" customWidth="1"/>
    <col min="5" max="5" width="52.453125" style="37" customWidth="1"/>
    <col min="6" max="16384" width="8.7265625" style="37"/>
  </cols>
  <sheetData>
    <row r="1" spans="1:5" x14ac:dyDescent="0.35">
      <c r="A1" s="34" t="s">
        <v>90</v>
      </c>
      <c r="B1" s="35" t="s">
        <v>273</v>
      </c>
      <c r="C1" s="35" t="s">
        <v>274</v>
      </c>
      <c r="D1" s="35" t="s">
        <v>275</v>
      </c>
      <c r="E1" s="36" t="s">
        <v>276</v>
      </c>
    </row>
    <row r="2" spans="1:5" x14ac:dyDescent="0.35">
      <c r="A2" s="38" t="s">
        <v>159</v>
      </c>
      <c r="B2" s="39" t="s">
        <v>44</v>
      </c>
      <c r="C2" s="39" t="s">
        <v>6</v>
      </c>
      <c r="D2" s="39">
        <v>749</v>
      </c>
      <c r="E2" s="40" t="s">
        <v>277</v>
      </c>
    </row>
    <row r="3" spans="1:5" x14ac:dyDescent="0.35">
      <c r="A3" s="38" t="s">
        <v>168</v>
      </c>
      <c r="B3" s="39" t="s">
        <v>47</v>
      </c>
      <c r="C3" s="39" t="s">
        <v>13</v>
      </c>
      <c r="D3" s="39">
        <v>39</v>
      </c>
      <c r="E3" s="40" t="s">
        <v>278</v>
      </c>
    </row>
    <row r="4" spans="1:5" x14ac:dyDescent="0.35">
      <c r="A4" s="38" t="s">
        <v>133</v>
      </c>
      <c r="B4" s="39" t="s">
        <v>50</v>
      </c>
      <c r="C4" s="39" t="s">
        <v>11</v>
      </c>
      <c r="D4" s="39">
        <v>129</v>
      </c>
      <c r="E4" s="40" t="s">
        <v>279</v>
      </c>
    </row>
    <row r="5" spans="1:5" x14ac:dyDescent="0.35">
      <c r="A5" s="38" t="s">
        <v>197</v>
      </c>
      <c r="B5" s="39" t="s">
        <v>60</v>
      </c>
      <c r="C5" s="39" t="s">
        <v>13</v>
      </c>
      <c r="D5" s="39">
        <v>59</v>
      </c>
      <c r="E5" s="40" t="s">
        <v>280</v>
      </c>
    </row>
    <row r="6" spans="1:5" x14ac:dyDescent="0.35">
      <c r="A6" s="38" t="s">
        <v>147</v>
      </c>
      <c r="B6" s="39" t="s">
        <v>69</v>
      </c>
      <c r="C6" s="39" t="s">
        <v>8</v>
      </c>
      <c r="D6" s="39">
        <v>25</v>
      </c>
      <c r="E6" s="40" t="s">
        <v>281</v>
      </c>
    </row>
    <row r="7" spans="1:5" x14ac:dyDescent="0.35">
      <c r="A7" s="38" t="s">
        <v>142</v>
      </c>
      <c r="B7" s="39" t="s">
        <v>66</v>
      </c>
      <c r="C7" s="39" t="s">
        <v>8</v>
      </c>
      <c r="D7" s="39">
        <v>89</v>
      </c>
      <c r="E7" s="40" t="s">
        <v>282</v>
      </c>
    </row>
    <row r="8" spans="1:5" x14ac:dyDescent="0.35">
      <c r="A8" s="38" t="s">
        <v>192</v>
      </c>
      <c r="B8" s="39" t="s">
        <v>65</v>
      </c>
      <c r="C8" s="39" t="s">
        <v>13</v>
      </c>
      <c r="D8" s="39">
        <v>29</v>
      </c>
      <c r="E8" s="40" t="s">
        <v>283</v>
      </c>
    </row>
    <row r="9" spans="1:5" x14ac:dyDescent="0.35">
      <c r="A9" s="38" t="s">
        <v>154</v>
      </c>
      <c r="B9" s="39" t="s">
        <v>68</v>
      </c>
      <c r="C9" s="39" t="s">
        <v>5</v>
      </c>
      <c r="D9" s="39">
        <v>65</v>
      </c>
      <c r="E9" s="40" t="s">
        <v>284</v>
      </c>
    </row>
    <row r="10" spans="1:5" x14ac:dyDescent="0.35">
      <c r="A10" s="38" t="s">
        <v>182</v>
      </c>
      <c r="B10" s="39" t="s">
        <v>61</v>
      </c>
      <c r="C10" s="39" t="s">
        <v>5</v>
      </c>
      <c r="D10" s="39">
        <v>10</v>
      </c>
      <c r="E10" s="40" t="s">
        <v>285</v>
      </c>
    </row>
    <row r="11" spans="1:5" x14ac:dyDescent="0.35">
      <c r="A11" s="38" t="s">
        <v>117</v>
      </c>
      <c r="B11" s="39" t="s">
        <v>58</v>
      </c>
      <c r="C11" s="39" t="s">
        <v>8</v>
      </c>
      <c r="D11" s="39">
        <v>55</v>
      </c>
      <c r="E11" s="40" t="s">
        <v>286</v>
      </c>
    </row>
    <row r="12" spans="1:5" x14ac:dyDescent="0.35">
      <c r="A12" s="38" t="s">
        <v>187</v>
      </c>
      <c r="B12" s="39" t="s">
        <v>57</v>
      </c>
      <c r="C12" s="39" t="s">
        <v>6</v>
      </c>
      <c r="D12" s="39">
        <v>159</v>
      </c>
      <c r="E12" s="40" t="s">
        <v>287</v>
      </c>
    </row>
    <row r="13" spans="1:5" x14ac:dyDescent="0.35">
      <c r="A13" s="38" t="s">
        <v>101</v>
      </c>
      <c r="B13" s="39" t="s">
        <v>59</v>
      </c>
      <c r="C13" s="39" t="s">
        <v>11</v>
      </c>
      <c r="D13" s="39">
        <v>42</v>
      </c>
      <c r="E13" s="40" t="s">
        <v>288</v>
      </c>
    </row>
    <row r="14" spans="1:5" x14ac:dyDescent="0.35">
      <c r="A14" s="38" t="s">
        <v>109</v>
      </c>
      <c r="B14" s="39" t="s">
        <v>70</v>
      </c>
      <c r="C14" s="39" t="s">
        <v>11</v>
      </c>
      <c r="D14" s="39">
        <v>185</v>
      </c>
      <c r="E14" s="40" t="s">
        <v>289</v>
      </c>
    </row>
    <row r="15" spans="1:5" x14ac:dyDescent="0.35">
      <c r="A15" s="38" t="s">
        <v>136</v>
      </c>
      <c r="B15" s="39" t="s">
        <v>67</v>
      </c>
      <c r="C15" s="39" t="s">
        <v>6</v>
      </c>
      <c r="D15" s="39">
        <v>229</v>
      </c>
      <c r="E15" s="40" t="s">
        <v>290</v>
      </c>
    </row>
    <row r="16" spans="1:5" x14ac:dyDescent="0.35">
      <c r="A16" s="38" t="s">
        <v>151</v>
      </c>
      <c r="B16" s="39" t="s">
        <v>63</v>
      </c>
      <c r="C16" s="39" t="s">
        <v>5</v>
      </c>
      <c r="D16" s="39">
        <v>20</v>
      </c>
      <c r="E16" s="40" t="s">
        <v>291</v>
      </c>
    </row>
    <row r="17" spans="1:5" x14ac:dyDescent="0.35">
      <c r="A17" s="38" t="s">
        <v>189</v>
      </c>
      <c r="B17" s="39" t="s">
        <v>52</v>
      </c>
      <c r="C17" s="39" t="s">
        <v>11</v>
      </c>
      <c r="D17" s="39">
        <v>199</v>
      </c>
      <c r="E17" s="40" t="s">
        <v>292</v>
      </c>
    </row>
    <row r="18" spans="1:5" x14ac:dyDescent="0.35">
      <c r="A18" s="38" t="s">
        <v>145</v>
      </c>
      <c r="B18" s="39" t="s">
        <v>56</v>
      </c>
      <c r="C18" s="39" t="s">
        <v>6</v>
      </c>
      <c r="D18" s="39">
        <v>69</v>
      </c>
      <c r="E18" s="40" t="s">
        <v>293</v>
      </c>
    </row>
    <row r="19" spans="1:5" x14ac:dyDescent="0.35">
      <c r="A19" s="38" t="s">
        <v>106</v>
      </c>
      <c r="B19" s="39" t="s">
        <v>54</v>
      </c>
      <c r="C19" s="39" t="s">
        <v>13</v>
      </c>
      <c r="D19" s="39">
        <v>89</v>
      </c>
      <c r="E19" s="40" t="s">
        <v>294</v>
      </c>
    </row>
    <row r="20" spans="1:5" x14ac:dyDescent="0.35">
      <c r="A20" s="38" t="s">
        <v>131</v>
      </c>
      <c r="B20" s="39" t="s">
        <v>55</v>
      </c>
      <c r="C20" s="39" t="s">
        <v>8</v>
      </c>
      <c r="D20" s="39">
        <v>40</v>
      </c>
      <c r="E20" s="40" t="s">
        <v>295</v>
      </c>
    </row>
    <row r="21" spans="1:5" x14ac:dyDescent="0.35">
      <c r="A21" s="38" t="s">
        <v>124</v>
      </c>
      <c r="B21" s="39" t="s">
        <v>49</v>
      </c>
      <c r="C21" s="39" t="s">
        <v>6</v>
      </c>
      <c r="D21" s="39">
        <v>99</v>
      </c>
      <c r="E21" s="40" t="s">
        <v>296</v>
      </c>
    </row>
    <row r="22" spans="1:5" x14ac:dyDescent="0.35">
      <c r="A22" s="38" t="s">
        <v>128</v>
      </c>
      <c r="B22" s="39" t="s">
        <v>71</v>
      </c>
      <c r="C22" s="39" t="s">
        <v>11</v>
      </c>
      <c r="D22" s="39">
        <v>34</v>
      </c>
      <c r="E22" s="40" t="s">
        <v>297</v>
      </c>
    </row>
    <row r="23" spans="1:5" x14ac:dyDescent="0.35">
      <c r="A23" s="41" t="s">
        <v>170</v>
      </c>
      <c r="B23" s="42" t="s">
        <v>48</v>
      </c>
      <c r="C23" s="42" t="s">
        <v>8</v>
      </c>
      <c r="D23" s="42">
        <v>60</v>
      </c>
      <c r="E23" s="43" t="s">
        <v>298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sqref="A1:B6"/>
    </sheetView>
  </sheetViews>
  <sheetFormatPr defaultRowHeight="14.5" x14ac:dyDescent="0.35"/>
  <cols>
    <col min="2" max="2" width="12.81640625" customWidth="1"/>
  </cols>
  <sheetData>
    <row r="1" spans="1:2" x14ac:dyDescent="0.35">
      <c r="A1" s="13" t="s">
        <v>1</v>
      </c>
      <c r="B1" s="14" t="s">
        <v>299</v>
      </c>
    </row>
    <row r="2" spans="1:2" x14ac:dyDescent="0.35">
      <c r="A2" s="11" t="s">
        <v>4</v>
      </c>
      <c r="B2" s="12">
        <v>97500</v>
      </c>
    </row>
    <row r="3" spans="1:2" x14ac:dyDescent="0.35">
      <c r="A3" s="11" t="s">
        <v>17</v>
      </c>
      <c r="B3" s="12">
        <v>50500</v>
      </c>
    </row>
    <row r="4" spans="1:2" x14ac:dyDescent="0.35">
      <c r="A4" s="11" t="s">
        <v>22</v>
      </c>
      <c r="B4" s="12">
        <v>105000</v>
      </c>
    </row>
    <row r="5" spans="1:2" x14ac:dyDescent="0.35">
      <c r="A5" s="11" t="s">
        <v>27</v>
      </c>
      <c r="B5" s="12">
        <v>91500</v>
      </c>
    </row>
    <row r="6" spans="1:2" x14ac:dyDescent="0.35">
      <c r="A6" s="15" t="s">
        <v>29</v>
      </c>
      <c r="B6" s="16">
        <v>90750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election activeCell="H9" sqref="H9"/>
    </sheetView>
  </sheetViews>
  <sheetFormatPr defaultRowHeight="14.5" x14ac:dyDescent="0.35"/>
  <cols>
    <col min="1" max="1" width="15" customWidth="1"/>
    <col min="2" max="2" width="16.453125" customWidth="1"/>
    <col min="3" max="3" width="15.453125" customWidth="1"/>
    <col min="4" max="4" width="12.81640625" customWidth="1"/>
    <col min="5" max="5" width="15.54296875" customWidth="1"/>
  </cols>
  <sheetData>
    <row r="1" spans="1:5" x14ac:dyDescent="0.35">
      <c r="A1" s="5" t="s">
        <v>89</v>
      </c>
      <c r="B1" s="6" t="s">
        <v>96</v>
      </c>
      <c r="C1" s="6" t="s">
        <v>300</v>
      </c>
      <c r="D1" s="6" t="s">
        <v>301</v>
      </c>
      <c r="E1" s="7" t="s">
        <v>302</v>
      </c>
    </row>
    <row r="2" spans="1:5" x14ac:dyDescent="0.35">
      <c r="A2" s="3" t="s">
        <v>199</v>
      </c>
      <c r="B2" s="2" t="s">
        <v>303</v>
      </c>
      <c r="C2" s="2" t="s">
        <v>304</v>
      </c>
      <c r="D2" s="2" t="s">
        <v>305</v>
      </c>
      <c r="E2" s="4" t="s">
        <v>305</v>
      </c>
    </row>
    <row r="3" spans="1:5" x14ac:dyDescent="0.35">
      <c r="A3" s="3" t="s">
        <v>306</v>
      </c>
      <c r="B3" s="2" t="s">
        <v>307</v>
      </c>
      <c r="C3" s="2" t="s">
        <v>308</v>
      </c>
      <c r="D3" s="2" t="s">
        <v>309</v>
      </c>
      <c r="E3" s="4" t="s">
        <v>310</v>
      </c>
    </row>
    <row r="4" spans="1:5" x14ac:dyDescent="0.35">
      <c r="A4" s="3" t="s">
        <v>221</v>
      </c>
      <c r="B4" s="2" t="s">
        <v>311</v>
      </c>
      <c r="C4" s="2" t="s">
        <v>308</v>
      </c>
      <c r="D4" s="2" t="s">
        <v>312</v>
      </c>
      <c r="E4" s="4" t="s">
        <v>313</v>
      </c>
    </row>
    <row r="5" spans="1:5" x14ac:dyDescent="0.35">
      <c r="A5" s="3" t="s">
        <v>228</v>
      </c>
      <c r="B5" s="2" t="s">
        <v>314</v>
      </c>
      <c r="C5" s="2" t="s">
        <v>308</v>
      </c>
      <c r="D5" s="2" t="s">
        <v>315</v>
      </c>
      <c r="E5" s="4" t="s">
        <v>316</v>
      </c>
    </row>
    <row r="6" spans="1:5" x14ac:dyDescent="0.35">
      <c r="A6" s="3" t="s">
        <v>317</v>
      </c>
      <c r="B6" s="2" t="s">
        <v>318</v>
      </c>
      <c r="C6" s="2" t="s">
        <v>308</v>
      </c>
      <c r="D6" s="2" t="s">
        <v>309</v>
      </c>
      <c r="E6" s="4" t="s">
        <v>310</v>
      </c>
    </row>
    <row r="7" spans="1:5" x14ac:dyDescent="0.35">
      <c r="A7" s="3" t="s">
        <v>196</v>
      </c>
      <c r="B7" s="2" t="s">
        <v>319</v>
      </c>
      <c r="C7" s="2" t="s">
        <v>308</v>
      </c>
      <c r="D7" s="2" t="s">
        <v>320</v>
      </c>
      <c r="E7" s="4" t="s">
        <v>321</v>
      </c>
    </row>
    <row r="8" spans="1:5" x14ac:dyDescent="0.35">
      <c r="A8" s="3" t="s">
        <v>175</v>
      </c>
      <c r="B8" s="2" t="s">
        <v>322</v>
      </c>
      <c r="C8" s="2" t="s">
        <v>308</v>
      </c>
      <c r="D8" s="2" t="s">
        <v>315</v>
      </c>
      <c r="E8" s="4" t="s">
        <v>316</v>
      </c>
    </row>
    <row r="9" spans="1:5" x14ac:dyDescent="0.35">
      <c r="A9" s="3" t="s">
        <v>177</v>
      </c>
      <c r="B9" s="2" t="s">
        <v>323</v>
      </c>
      <c r="C9" s="2" t="s">
        <v>304</v>
      </c>
      <c r="D9" s="2" t="s">
        <v>324</v>
      </c>
      <c r="E9" s="4" t="s">
        <v>313</v>
      </c>
    </row>
    <row r="10" spans="1:5" x14ac:dyDescent="0.35">
      <c r="A10" s="3" t="s">
        <v>120</v>
      </c>
      <c r="B10" s="2" t="s">
        <v>325</v>
      </c>
      <c r="C10" s="2" t="s">
        <v>304</v>
      </c>
      <c r="D10" s="2" t="s">
        <v>309</v>
      </c>
      <c r="E10" s="4" t="s">
        <v>310</v>
      </c>
    </row>
    <row r="11" spans="1:5" x14ac:dyDescent="0.35">
      <c r="A11" s="3" t="s">
        <v>326</v>
      </c>
      <c r="B11" s="2" t="s">
        <v>327</v>
      </c>
      <c r="C11" s="2" t="s">
        <v>308</v>
      </c>
      <c r="D11" s="2" t="s">
        <v>320</v>
      </c>
      <c r="E11" s="4" t="s">
        <v>321</v>
      </c>
    </row>
    <row r="12" spans="1:5" x14ac:dyDescent="0.35">
      <c r="A12" s="3" t="s">
        <v>153</v>
      </c>
      <c r="B12" s="2" t="s">
        <v>328</v>
      </c>
      <c r="C12" s="2" t="s">
        <v>304</v>
      </c>
      <c r="D12" s="2" t="s">
        <v>329</v>
      </c>
      <c r="E12" s="4" t="s">
        <v>330</v>
      </c>
    </row>
    <row r="13" spans="1:5" x14ac:dyDescent="0.35">
      <c r="A13" s="3" t="s">
        <v>331</v>
      </c>
      <c r="B13" s="2" t="s">
        <v>303</v>
      </c>
      <c r="C13" s="2" t="s">
        <v>332</v>
      </c>
      <c r="D13" s="2" t="s">
        <v>333</v>
      </c>
      <c r="E13" s="4" t="s">
        <v>334</v>
      </c>
    </row>
    <row r="14" spans="1:5" x14ac:dyDescent="0.35">
      <c r="A14" s="3" t="s">
        <v>130</v>
      </c>
      <c r="B14" s="2" t="s">
        <v>318</v>
      </c>
      <c r="C14" s="2" t="s">
        <v>308</v>
      </c>
      <c r="D14" s="2" t="s">
        <v>309</v>
      </c>
      <c r="E14" s="4" t="s">
        <v>310</v>
      </c>
    </row>
    <row r="15" spans="1:5" x14ac:dyDescent="0.35">
      <c r="A15" s="3" t="s">
        <v>179</v>
      </c>
      <c r="B15" s="2" t="s">
        <v>323</v>
      </c>
      <c r="C15" s="2" t="s">
        <v>332</v>
      </c>
      <c r="D15" s="2" t="s">
        <v>320</v>
      </c>
      <c r="E15" s="4" t="s">
        <v>321</v>
      </c>
    </row>
    <row r="16" spans="1:5" x14ac:dyDescent="0.35">
      <c r="A16" s="3" t="s">
        <v>252</v>
      </c>
      <c r="B16" s="2" t="s">
        <v>335</v>
      </c>
      <c r="C16" s="2" t="s">
        <v>332</v>
      </c>
      <c r="D16" s="2" t="s">
        <v>333</v>
      </c>
      <c r="E16" s="4" t="s">
        <v>334</v>
      </c>
    </row>
    <row r="17" spans="1:5" x14ac:dyDescent="0.35">
      <c r="A17" s="3" t="s">
        <v>163</v>
      </c>
      <c r="B17" s="2" t="s">
        <v>336</v>
      </c>
      <c r="C17" s="2" t="s">
        <v>308</v>
      </c>
      <c r="D17" s="2" t="s">
        <v>333</v>
      </c>
      <c r="E17" s="4" t="s">
        <v>334</v>
      </c>
    </row>
    <row r="18" spans="1:5" x14ac:dyDescent="0.35">
      <c r="A18" s="3" t="s">
        <v>217</v>
      </c>
      <c r="B18" s="2" t="s">
        <v>337</v>
      </c>
      <c r="C18" s="2" t="s">
        <v>304</v>
      </c>
      <c r="D18" s="2" t="s">
        <v>312</v>
      </c>
      <c r="E18" s="4" t="s">
        <v>313</v>
      </c>
    </row>
    <row r="19" spans="1:5" x14ac:dyDescent="0.35">
      <c r="A19" s="3" t="s">
        <v>172</v>
      </c>
      <c r="B19" s="2" t="s">
        <v>338</v>
      </c>
      <c r="C19" s="2" t="s">
        <v>332</v>
      </c>
      <c r="D19" s="2" t="s">
        <v>329</v>
      </c>
      <c r="E19" s="4" t="s">
        <v>330</v>
      </c>
    </row>
    <row r="20" spans="1:5" x14ac:dyDescent="0.35">
      <c r="A20" s="3" t="s">
        <v>127</v>
      </c>
      <c r="B20" s="2" t="s">
        <v>319</v>
      </c>
      <c r="C20" s="2" t="s">
        <v>308</v>
      </c>
      <c r="D20" s="2" t="s">
        <v>309</v>
      </c>
      <c r="E20" s="4" t="s">
        <v>310</v>
      </c>
    </row>
    <row r="21" spans="1:5" x14ac:dyDescent="0.35">
      <c r="A21" s="3" t="s">
        <v>339</v>
      </c>
      <c r="B21" s="2" t="s">
        <v>340</v>
      </c>
      <c r="C21" s="2" t="s">
        <v>332</v>
      </c>
      <c r="D21" s="2" t="s">
        <v>320</v>
      </c>
      <c r="E21" s="4" t="s">
        <v>321</v>
      </c>
    </row>
    <row r="22" spans="1:5" x14ac:dyDescent="0.35">
      <c r="A22" s="3" t="s">
        <v>100</v>
      </c>
      <c r="B22" s="2" t="s">
        <v>341</v>
      </c>
      <c r="C22" s="2" t="s">
        <v>332</v>
      </c>
      <c r="D22" s="2" t="s">
        <v>312</v>
      </c>
      <c r="E22" s="4" t="s">
        <v>313</v>
      </c>
    </row>
    <row r="23" spans="1:5" x14ac:dyDescent="0.35">
      <c r="A23" s="3" t="s">
        <v>226</v>
      </c>
      <c r="B23" s="2" t="s">
        <v>336</v>
      </c>
      <c r="C23" s="2" t="s">
        <v>332</v>
      </c>
      <c r="D23" s="2" t="s">
        <v>329</v>
      </c>
      <c r="E23" s="4" t="s">
        <v>330</v>
      </c>
    </row>
    <row r="24" spans="1:5" x14ac:dyDescent="0.35">
      <c r="A24" s="3" t="s">
        <v>141</v>
      </c>
      <c r="B24" s="2" t="s">
        <v>342</v>
      </c>
      <c r="C24" s="2" t="s">
        <v>332</v>
      </c>
      <c r="D24" s="2" t="s">
        <v>312</v>
      </c>
      <c r="E24" s="4" t="s">
        <v>313</v>
      </c>
    </row>
    <row r="25" spans="1:5" x14ac:dyDescent="0.35">
      <c r="A25" s="3" t="s">
        <v>194</v>
      </c>
      <c r="B25" s="2" t="s">
        <v>343</v>
      </c>
      <c r="C25" s="2" t="s">
        <v>304</v>
      </c>
      <c r="D25" s="2" t="s">
        <v>329</v>
      </c>
      <c r="E25" s="4" t="s">
        <v>330</v>
      </c>
    </row>
    <row r="26" spans="1:5" x14ac:dyDescent="0.35">
      <c r="A26" s="3" t="s">
        <v>158</v>
      </c>
      <c r="B26" s="2" t="s">
        <v>337</v>
      </c>
      <c r="C26" s="2" t="s">
        <v>332</v>
      </c>
      <c r="D26" s="2" t="s">
        <v>329</v>
      </c>
      <c r="E26" s="4" t="s">
        <v>330</v>
      </c>
    </row>
    <row r="27" spans="1:5" x14ac:dyDescent="0.35">
      <c r="A27" s="3" t="s">
        <v>209</v>
      </c>
      <c r="B27" s="2" t="s">
        <v>341</v>
      </c>
      <c r="C27" s="2" t="s">
        <v>332</v>
      </c>
      <c r="D27" s="2" t="s">
        <v>309</v>
      </c>
      <c r="E27" s="4" t="s">
        <v>310</v>
      </c>
    </row>
    <row r="28" spans="1:5" x14ac:dyDescent="0.35">
      <c r="A28" s="3" t="s">
        <v>116</v>
      </c>
      <c r="B28" s="2" t="s">
        <v>344</v>
      </c>
      <c r="C28" s="2" t="s">
        <v>332</v>
      </c>
      <c r="D28" s="2" t="s">
        <v>309</v>
      </c>
      <c r="E28" s="4" t="s">
        <v>310</v>
      </c>
    </row>
    <row r="29" spans="1:5" x14ac:dyDescent="0.35">
      <c r="A29" s="3" t="s">
        <v>165</v>
      </c>
      <c r="B29" s="2" t="s">
        <v>345</v>
      </c>
      <c r="C29" s="2" t="s">
        <v>304</v>
      </c>
      <c r="D29" s="2" t="s">
        <v>312</v>
      </c>
      <c r="E29" s="4" t="s">
        <v>313</v>
      </c>
    </row>
    <row r="30" spans="1:5" x14ac:dyDescent="0.35">
      <c r="A30" s="3" t="s">
        <v>105</v>
      </c>
      <c r="B30" s="2" t="s">
        <v>335</v>
      </c>
      <c r="C30" s="2" t="s">
        <v>332</v>
      </c>
      <c r="D30" s="2" t="s">
        <v>329</v>
      </c>
      <c r="E30" s="4" t="s">
        <v>330</v>
      </c>
    </row>
    <row r="31" spans="1:5" x14ac:dyDescent="0.35">
      <c r="A31" s="3" t="s">
        <v>346</v>
      </c>
      <c r="B31" s="2" t="s">
        <v>337</v>
      </c>
      <c r="C31" s="2" t="s">
        <v>332</v>
      </c>
      <c r="D31" s="2" t="s">
        <v>309</v>
      </c>
      <c r="E31" s="4" t="s">
        <v>310</v>
      </c>
    </row>
    <row r="32" spans="1:5" x14ac:dyDescent="0.35">
      <c r="A32" s="3" t="s">
        <v>261</v>
      </c>
      <c r="B32" s="2" t="s">
        <v>347</v>
      </c>
      <c r="C32" s="2" t="s">
        <v>304</v>
      </c>
      <c r="D32" s="2" t="s">
        <v>309</v>
      </c>
      <c r="E32" s="4" t="s">
        <v>310</v>
      </c>
    </row>
    <row r="33" spans="1:5" x14ac:dyDescent="0.35">
      <c r="A33" s="3" t="s">
        <v>186</v>
      </c>
      <c r="B33" s="2" t="s">
        <v>348</v>
      </c>
      <c r="C33" s="2" t="s">
        <v>304</v>
      </c>
      <c r="D33" s="2" t="s">
        <v>312</v>
      </c>
      <c r="E33" s="4" t="s">
        <v>313</v>
      </c>
    </row>
    <row r="34" spans="1:5" x14ac:dyDescent="0.35">
      <c r="A34" s="3" t="s">
        <v>144</v>
      </c>
      <c r="B34" s="2" t="s">
        <v>349</v>
      </c>
      <c r="C34" s="2" t="s">
        <v>304</v>
      </c>
      <c r="D34" s="2" t="s">
        <v>333</v>
      </c>
      <c r="E34" s="4" t="s">
        <v>334</v>
      </c>
    </row>
    <row r="35" spans="1:5" x14ac:dyDescent="0.35">
      <c r="A35" s="3" t="s">
        <v>271</v>
      </c>
      <c r="B35" s="2" t="s">
        <v>350</v>
      </c>
      <c r="C35" s="2" t="s">
        <v>332</v>
      </c>
      <c r="D35" s="2" t="s">
        <v>333</v>
      </c>
      <c r="E35" s="4" t="s">
        <v>334</v>
      </c>
    </row>
    <row r="36" spans="1:5" x14ac:dyDescent="0.35">
      <c r="A36" s="3" t="s">
        <v>224</v>
      </c>
      <c r="B36" s="2" t="s">
        <v>351</v>
      </c>
      <c r="C36" s="2" t="s">
        <v>304</v>
      </c>
      <c r="D36" s="2" t="s">
        <v>329</v>
      </c>
      <c r="E36" s="4" t="s">
        <v>330</v>
      </c>
    </row>
    <row r="37" spans="1:5" x14ac:dyDescent="0.35">
      <c r="A37" s="3" t="s">
        <v>264</v>
      </c>
      <c r="B37" s="2" t="s">
        <v>311</v>
      </c>
      <c r="C37" s="2" t="s">
        <v>304</v>
      </c>
      <c r="D37" s="2" t="s">
        <v>320</v>
      </c>
      <c r="E37" s="4" t="s">
        <v>321</v>
      </c>
    </row>
    <row r="38" spans="1:5" x14ac:dyDescent="0.35">
      <c r="A38" s="3" t="s">
        <v>181</v>
      </c>
      <c r="B38" s="2" t="s">
        <v>307</v>
      </c>
      <c r="C38" s="2" t="s">
        <v>332</v>
      </c>
      <c r="D38" s="2" t="s">
        <v>329</v>
      </c>
      <c r="E38" s="4" t="s">
        <v>330</v>
      </c>
    </row>
    <row r="39" spans="1:5" x14ac:dyDescent="0.35">
      <c r="A39" s="3" t="s">
        <v>352</v>
      </c>
      <c r="B39" s="2" t="s">
        <v>353</v>
      </c>
      <c r="C39" s="2" t="s">
        <v>304</v>
      </c>
      <c r="D39" s="2" t="s">
        <v>312</v>
      </c>
      <c r="E39" s="4" t="s">
        <v>313</v>
      </c>
    </row>
    <row r="40" spans="1:5" x14ac:dyDescent="0.35">
      <c r="A40" s="3" t="s">
        <v>205</v>
      </c>
      <c r="B40" s="2" t="s">
        <v>354</v>
      </c>
      <c r="C40" s="2" t="s">
        <v>332</v>
      </c>
      <c r="D40" s="2" t="s">
        <v>312</v>
      </c>
      <c r="E40" s="4" t="s">
        <v>313</v>
      </c>
    </row>
    <row r="41" spans="1:5" x14ac:dyDescent="0.35">
      <c r="A41" s="3" t="s">
        <v>167</v>
      </c>
      <c r="B41" s="2" t="s">
        <v>355</v>
      </c>
      <c r="C41" s="2" t="s">
        <v>308</v>
      </c>
      <c r="D41" s="2" t="s">
        <v>312</v>
      </c>
      <c r="E41" s="4" t="s">
        <v>313</v>
      </c>
    </row>
    <row r="42" spans="1:5" x14ac:dyDescent="0.35">
      <c r="A42" s="3" t="s">
        <v>156</v>
      </c>
      <c r="B42" s="2" t="s">
        <v>356</v>
      </c>
      <c r="C42" s="2" t="s">
        <v>304</v>
      </c>
      <c r="D42" s="2" t="s">
        <v>312</v>
      </c>
      <c r="E42" s="4" t="s">
        <v>313</v>
      </c>
    </row>
    <row r="43" spans="1:5" x14ac:dyDescent="0.35">
      <c r="A43" s="3" t="s">
        <v>123</v>
      </c>
      <c r="B43" s="2" t="s">
        <v>314</v>
      </c>
      <c r="C43" s="2" t="s">
        <v>308</v>
      </c>
      <c r="D43" s="2" t="s">
        <v>312</v>
      </c>
      <c r="E43" s="4" t="s">
        <v>313</v>
      </c>
    </row>
    <row r="44" spans="1:5" x14ac:dyDescent="0.35">
      <c r="A44" s="3" t="s">
        <v>256</v>
      </c>
      <c r="B44" s="2" t="s">
        <v>357</v>
      </c>
      <c r="C44" s="2" t="s">
        <v>332</v>
      </c>
      <c r="D44" s="2" t="s">
        <v>309</v>
      </c>
      <c r="E44" s="4" t="s">
        <v>310</v>
      </c>
    </row>
    <row r="45" spans="1:5" x14ac:dyDescent="0.35">
      <c r="A45" s="3" t="s">
        <v>112</v>
      </c>
      <c r="B45" s="2" t="s">
        <v>358</v>
      </c>
      <c r="C45" s="2" t="s">
        <v>304</v>
      </c>
      <c r="D45" s="2" t="s">
        <v>333</v>
      </c>
      <c r="E45" s="4" t="s">
        <v>334</v>
      </c>
    </row>
    <row r="46" spans="1:5" x14ac:dyDescent="0.35">
      <c r="A46" s="3" t="s">
        <v>138</v>
      </c>
      <c r="B46" s="2" t="s">
        <v>307</v>
      </c>
      <c r="C46" s="2" t="s">
        <v>332</v>
      </c>
      <c r="D46" s="2" t="s">
        <v>312</v>
      </c>
      <c r="E46" s="4" t="s">
        <v>313</v>
      </c>
    </row>
    <row r="47" spans="1:5" x14ac:dyDescent="0.35">
      <c r="A47" s="3" t="s">
        <v>135</v>
      </c>
      <c r="B47" s="2" t="s">
        <v>307</v>
      </c>
      <c r="C47" s="2" t="s">
        <v>308</v>
      </c>
      <c r="D47" s="2" t="s">
        <v>320</v>
      </c>
      <c r="E47" s="4" t="s">
        <v>321</v>
      </c>
    </row>
    <row r="48" spans="1:5" x14ac:dyDescent="0.35">
      <c r="A48" s="3" t="s">
        <v>149</v>
      </c>
      <c r="B48" s="2" t="s">
        <v>343</v>
      </c>
      <c r="C48" s="2" t="s">
        <v>332</v>
      </c>
      <c r="D48" s="2" t="s">
        <v>320</v>
      </c>
      <c r="E48" s="4" t="s">
        <v>321</v>
      </c>
    </row>
    <row r="49" spans="1:5" x14ac:dyDescent="0.35">
      <c r="A49" s="3" t="s">
        <v>230</v>
      </c>
      <c r="B49" s="2" t="s">
        <v>314</v>
      </c>
      <c r="C49" s="2" t="s">
        <v>304</v>
      </c>
      <c r="D49" s="2" t="s">
        <v>320</v>
      </c>
      <c r="E49" s="4" t="s">
        <v>321</v>
      </c>
    </row>
    <row r="50" spans="1:5" x14ac:dyDescent="0.35">
      <c r="A50" s="8" t="s">
        <v>359</v>
      </c>
      <c r="B50" s="9" t="s">
        <v>360</v>
      </c>
      <c r="C50" s="9" t="s">
        <v>304</v>
      </c>
      <c r="D50" s="9" t="s">
        <v>320</v>
      </c>
      <c r="E50" s="10" t="s">
        <v>321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Pivot</vt:lpstr>
      <vt:lpstr>DashBoard</vt:lpstr>
      <vt:lpstr>Insights</vt:lpstr>
      <vt:lpstr>QA</vt:lpstr>
      <vt:lpstr>AmozonSales</vt:lpstr>
      <vt:lpstr>ProductMaster</vt:lpstr>
      <vt:lpstr>RegionGoals</vt:lpstr>
      <vt:lpstr>CustomerMaster</vt:lpstr>
      <vt:lpstr>Pivot!OLE_LINK1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Aastha Maurya</dc:creator>
  <cp:keywords/>
  <dc:description/>
  <cp:lastModifiedBy>Aastha Maurya</cp:lastModifiedBy>
  <cp:revision/>
  <dcterms:created xsi:type="dcterms:W3CDTF">2026-02-09T13:18:01Z</dcterms:created>
  <dcterms:modified xsi:type="dcterms:W3CDTF">2026-06-02T15:34:48Z</dcterms:modified>
  <cp:category/>
  <cp:contentStatus/>
</cp:coreProperties>
</file>